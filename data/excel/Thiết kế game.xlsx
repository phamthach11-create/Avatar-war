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activeTab="6"/>
  </bookViews>
  <sheets>
    <sheet name="Ý tưởng chung" sheetId="1" r:id="rId1"/>
    <sheet name="Giai đoạn phát triên" sheetId="2" r:id="rId2"/>
    <sheet name="Combat mechanic" sheetId="3" r:id="rId3"/>
    <sheet name="Termynology" sheetId="4" r:id="rId4"/>
    <sheet name="Balanced Dummy " sheetId="5" r:id="rId5"/>
    <sheet name="Destroyer class" sheetId="6" r:id="rId6"/>
    <sheet name="Warrior class" sheetId="13" r:id="rId7"/>
    <sheet name="Ranger class" sheetId="12" r:id="rId8"/>
    <sheet name="Item" sheetId="7" r:id="rId9"/>
    <sheet name="statu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<sst xmlns="http://schemas.openxmlformats.org/spreadsheetml/2006/main" count="1213" uniqueCount="796">
  <si>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</si>
  <si>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</si>
  <si>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</si>
  <si>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</si>
  <si>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</si>
  <si>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</si>
  <si>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</si>
  <si>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</si>
  <si>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</si>
  <si>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</si>
  <si>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</si>
  <si>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</si>
  <si>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</si>
  <si>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</si>
  <si>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</si>
  <si>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</si>
  <si>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</si>
  <si>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</si>
  <si>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</si>
  <si>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</si>
  <si>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</si>
  <si>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</si>
  <si>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</si>
  <si>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</si>
  <si>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</si>
  <si>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</si>
  <si>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</si>
  <si>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</si>
  <si>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</si>
  <si>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</si>
  <si>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</si>
  <si>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</si>
  <si>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</si>
  <si>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</si>
  <si>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</si>
  <si>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</si>
  <si>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Global turn</t>
  </si>
  <si>
    <t>One team's turn in the battle-wide sequence. Each team turn advances the global turn counter by 1.</t>
  </si>
  <si>
    <t>One specific team's opportunity to act. One team turn equals one global turn; it does not include the opposing team's turn.</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</si>
  <si>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</si>
  <si>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</si>
  <si>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</si>
  <si>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</si>
  <si>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</si>
  <si>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</si>
  <si>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</si>
  <si>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</si>
  <si>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</si>
  <si>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</si>
  <si>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</si>
  <si>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</si>
  <si>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</si>
  <si>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</si>
  <si>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</si>
  <si>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</si>
  <si>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</si>
  <si>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</si>
  <si>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</si>
  <si>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</si>
  <si>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</si>
  <si>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</si>
  <si>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</si>
  <si>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</si>
  <si>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</si>
  <si>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</si>
  <si>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</si>
  <si>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</si>
  <si>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</si>
  <si>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</si>
  <si>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</si>
  <si>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</si>
  <si>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</si>
  <si>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</si>
  <si>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</si>
  <si>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</si>
  <si>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</si>
  <si>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</si>
  <si>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</si>
  <si>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</si>
  <si>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</si>
  <si>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</si>
  <si>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</si>
  <si>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</si>
  <si>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</si>
  <si>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</si>
  <si>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</si>
  <si>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</si>
  <si>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</si>
  <si>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</si>
  <si>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</si>
  <si>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</si>
  <si>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</si>
  <si>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</si>
  <si>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</si>
  <si>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</si>
  <si>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</si>
  <si>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</si>
  <si>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</si>
  <si>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</si>
  <si>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</si>
  <si>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</si>
  <si>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</si>
  <si>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</si>
  <si>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</si>
  <si>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</si>
  <si>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</si>
  <si>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</si>
  <si>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</si>
  <si>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</si>
  <si>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</si>
  <si>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</si>
  <si>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</si>
  <si>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</si>
  <si>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</si>
  <si>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</si>
  <si>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</si>
  <si>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</si>
  <si>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</si>
  <si>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</si>
  <si>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</si>
  <si>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</si>
  <si>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</si>
  <si>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</si>
  <si>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</si>
  <si>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</si>
  <si>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</si>
  <si>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</si>
  <si>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</si>
  <si>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</si>
  <si>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</si>
  <si>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</si>
  <si>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</si>
  <si>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</si>
  <si>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</si>
  <si>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</si>
  <si>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</si>
  <si>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</si>
  <si>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</si>
  <si>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</si>
  <si>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</si>
  <si>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</si>
  <si>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</si>
  <si>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</si>
  <si>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</si>
  <si>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</si>
  <si>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</si>
  <si>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</si>
  <si>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</si>
  <si>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</si>
  <si>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</si>
  <si>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</si>
  <si>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</si>
  <si>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</si>
  <si>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</si>
  <si>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</si>
  <si>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</si>
  <si>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</si>
  <si>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Skill effect scope</t>
  </si>
  <si>
    <t>A skill's duration applies to all timed effects it applies, unless an effect explicitly specifies a different duration.</t>
  </si>
  <si>
    <t>XII. Skill Cooldown</t>
  </si>
  <si>
    <t>Definition</t>
  </si>
  <si>
    <t>Each character tracks a separate remaining cooldown for each skill, measured in global turns and governed by the Effect Duration rules.</t>
  </si>
  <si>
    <t>Initialization</t>
  </si>
  <si>
    <t>At battle initialization, set each skill's remaining cooldown to its applicable cooldown duration. Each team's initial countdown begins on its first team turn.</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</si>
  <si>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</si>
  <si>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</si>
  <si>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</si>
  <si>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</si>
  <si>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</si>
  <si>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</si>
  <si>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XIII. Cooldown Recovery</t>
  </si>
  <si>
    <t>Default timing</t>
  </si>
  <si>
    <t>Each team's first default cooldown recovery occurs at the end of its first team turn. Thereafter, recovery occurs at the end of every global turn, including the opposing team's turns.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</si>
  <si>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</si>
  <si>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</si>
  <si>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</si>
  <si>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</si>
  <si>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</si>
  <si>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</si>
  <si>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</si>
  <si>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</si>
  <si>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</si>
  <si>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</si>
  <si>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</si>
  <si>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</si>
  <si>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</si>
  <si>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</si>
  <si>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</si>
  <si>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</si>
  <si>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</si>
  <si>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</si>
  <si>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</si>
  <si>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</si>
  <si>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</si>
  <si>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</si>
  <si>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</si>
  <si>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</si>
  <si>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</si>
  <si>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</si>
  <si>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</si>
  <si>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</si>
  <si>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</si>
  <si>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</si>
  <si>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</si>
  <si>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</si>
  <si>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</si>
  <si>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</si>
  <si>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</si>
  <si>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</si>
  <si>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</si>
  <si>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</si>
  <si>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</si>
  <si>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</si>
  <si>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</si>
  <si>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</si>
  <si>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</si>
  <si>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</si>
  <si>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</si>
  <si>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</si>
  <si>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</si>
  <si>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</si>
  <si>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</si>
  <si>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</si>
  <si>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</si>
  <si>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</si>
  <si>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</si>
  <si>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</si>
  <si>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</si>
  <si>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</si>
  <si>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</si>
  <si>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</si>
  <si>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</si>
  <si>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</si>
  <si>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</si>
  <si>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</si>
  <si>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</si>
  <si>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</si>
  <si>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</si>
  <si>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</si>
  <si>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</si>
  <si>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</si>
  <si>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</si>
  <si>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</si>
  <si>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</si>
  <si>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</si>
  <si>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</si>
  <si>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</si>
  <si>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</si>
  <si>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</si>
  <si>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</si>
  <si>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</si>
  <si>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</si>
  <si>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</si>
  <si>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</si>
  <si>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</si>
  <si>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</si>
  <si>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</si>
  <si>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</si>
  <si>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</si>
  <si>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</si>
  <si>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</si>
  <si>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</si>
  <si>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</si>
  <si>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</si>
  <si>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</si>
  <si>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</si>
  <si>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</si>
  <si>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</si>
  <si>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</si>
  <si>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</si>
  <si>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</si>
  <si>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</si>
  <si>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</si>
  <si>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</si>
  <si>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</si>
  <si>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</si>
  <si>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</si>
  <si>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</si>
  <si>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</si>
  <si>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</si>
  <si>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</si>
  <si>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</si>
  <si>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</si>
  <si>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</si>
  <si>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</si>
  <si>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</si>
  <si>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</si>
  <si>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</si>
  <si>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</si>
  <si>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</si>
  <si>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</si>
  <si>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</si>
  <si>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</si>
  <si>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</si>
  <si>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</si>
  <si>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</si>
  <si>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</si>
  <si>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</si>
  <si>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</si>
  <si>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</si>
  <si>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</si>
  <si>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</si>
  <si>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</si>
  <si>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Heal</t>
  </si>
  <si>
    <t>HEAL</t>
  </si>
  <si>
    <t>MIN(Target’s Missing HP, Base Heal × (1 + Healing Amplification))</t>
  </si>
  <si>
    <t>The amount of HP restored to a target. Cannot exceed the target’s missing HP.</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</si>
  <si>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</si>
  <si>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</si>
  <si>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</si>
  <si>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</si>
  <si>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</si>
  <si>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</si>
  <si>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</si>
  <si>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</si>
  <si>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</si>
  <si>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</si>
  <si>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</si>
  <si>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</si>
  <si>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</si>
  <si>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</si>
  <si>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</si>
  <si>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</si>
  <si>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</si>
  <si>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</si>
  <si>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</si>
  <si>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</si>
  <si>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</si>
  <si>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</si>
  <si>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</si>
  <si>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</si>
  <si>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</si>
  <si>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</si>
  <si>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</si>
  <si>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</si>
  <si>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</si>
  <si>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</si>
  <si>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</si>
  <si>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</si>
  <si>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</si>
  <si>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</si>
  <si>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</si>
  <si>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</si>
  <si>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</si>
  <si>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</si>
  <si>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</si>
  <si>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</si>
  <si>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</si>
  <si>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</si>
  <si>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</si>
  <si>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</si>
  <si>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</si>
  <si>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</si>
  <si>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</si>
  <si>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</si>
  <si>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</si>
  <si>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</si>
  <si>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</si>
  <si>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</si>
  <si>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</si>
  <si>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</si>
  <si>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</si>
  <si>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</si>
  <si>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</si>
  <si>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</si>
  <si>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</si>
  <si>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</si>
  <si>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</si>
  <si>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</si>
  <si>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</si>
  <si>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</si>
  <si>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</si>
  <si>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</si>
  <si>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</si>
  <si>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</si>
  <si>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</si>
  <si>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</si>
  <si>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</si>
  <si>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</si>
  <si>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</si>
  <si>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</si>
  <si>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</si>
  <si>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</si>
  <si>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</si>
  <si>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</si>
  <si>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</si>
  <si>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</si>
  <si>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</si>
  <si>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</si>
  <si>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</si>
  <si>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</si>
  <si>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</si>
  <si>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</si>
  <si>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</si>
  <si>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</si>
  <si>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</si>
  <si>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Term (action)</t>
  </si>
  <si>
    <t>Normal Attack</t>
  </si>
  <si>
    <t>An offensive action that generates hits based on Multi-Hit Rate. Uses the weapon’s targeting and area rules.</t>
  </si>
  <si>
    <t>Offensive Cast</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</si>
  <si>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</si>
  <si>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</si>
  <si>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</si>
  <si>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</si>
  <si>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</si>
  <si>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</si>
  <si>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</si>
  <si>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</si>
  <si>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</si>
  <si>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</si>
  <si>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</si>
  <si>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</si>
  <si>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</si>
  <si>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</si>
  <si>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</si>
  <si>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</si>
  <si>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</si>
  <si>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</si>
  <si>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</si>
  <si>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</si>
  <si>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</si>
  <si>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</si>
  <si>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</si>
  <si>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</si>
  <si>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</si>
  <si>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</si>
  <si>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</si>
  <si>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</si>
  <si>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</si>
  <si>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</si>
  <si>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</si>
  <si>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</si>
  <si>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</si>
  <si>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Repeated Effects</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</si>
  <si>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</si>
  <si>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</si>
  <si>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</si>
  <si>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Auto-Cast</t>
  </si>
  <si>
    <t>Automatically commits a skill cast when its specified trigger occurs and all casting requirements are met. Requires no manual input or action slot. Applies the skill’s specified costs, cooldown, targeting, and effects, and triggers When Casting.</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</si>
  <si>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</si>
  <si>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</si>
  <si>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</si>
  <si>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</si>
  <si>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</si>
  <si>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</si>
  <si>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</si>
  <si>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</si>
  <si>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</si>
  <si>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</si>
  <si>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</si>
  <si>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</si>
  <si>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</si>
  <si>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</si>
  <si>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</si>
  <si>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</si>
  <si>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</si>
  <si>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</si>
  <si>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</si>
  <si>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</si>
  <si>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</si>
  <si>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</si>
  <si>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</si>
  <si>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</si>
  <si>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</si>
  <si>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</si>
  <si>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</si>
  <si>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t>1 HP = 1 CP. MP uses the same CP value as HP.</t>
  </si>
  <si>
    <t>HP: 40,000.</t>
  </si>
  <si>
    <t>Attack: 2,000.</t>
  </si>
  <si>
    <t>Defense and Skill Defense: 1,000 each.</t>
  </si>
  <si>
    <t>Power Constant, K: 1,000.</t>
  </si>
  <si>
    <t>Skill Attack: 4,800.</t>
  </si>
  <si>
    <t>Reference rotation: one normal attack followed by one skill.</t>
  </si>
  <si>
    <t>Accuracy: 100%; Evasion: 0%.</t>
  </si>
  <si>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</si>
  <si>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</si>
  <si>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</si>
  <si>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</si>
  <si>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</si>
  <si>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</si>
  <si>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</si>
  <si>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</si>
  <si>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</si>
  <si>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</si>
  <si>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</si>
  <si>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</si>
  <si>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</si>
  <si>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</si>
  <si>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</si>
  <si>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</si>
  <si>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</si>
  <si>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</si>
  <si>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</si>
  <si>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</si>
  <si>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</si>
  <si>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</si>
  <si>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</si>
  <si>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</si>
  <si>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t>Since 1 HP = 1 CP, Equivalent HP equals CP Gain.</t>
  </si>
  <si>
    <t>For percentage stats, each pricing unit means one percentage point, such as an increase from 20% to 21%.</t>
  </si>
  <si>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</si>
  <si>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</si>
  <si>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</si>
  <si>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</si>
  <si>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</si>
  <si>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</si>
  <si>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</si>
  <si>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</si>
  <si>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</si>
  <si>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</si>
  <si>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</si>
  <si>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</si>
  <si>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</si>
  <si>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</si>
  <si>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</si>
  <si>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</si>
  <si>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</si>
  <si>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</si>
  <si>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</si>
  <si>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</si>
  <si>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</si>
  <si>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</si>
  <si>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</si>
  <si>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</si>
  <si>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</si>
  <si>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</si>
  <si>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</si>
  <si>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</si>
  <si>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</si>
  <si>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</si>
  <si>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</si>
  <si>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</si>
  <si>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</si>
  <si>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</si>
  <si>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</si>
  <si>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</si>
  <si>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</si>
  <si>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</si>
  <si>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</si>
  <si>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</si>
  <si>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</si>
  <si>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t>The value uses a hypothetical healing reference because the benchmark duel contains no healing. Default Healing Amplification is 0%, meaning no additional healing received.</t>
  </si>
  <si>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</si>
  <si>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</si>
  <si>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</si>
  <si>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</si>
  <si>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</si>
  <si>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</si>
  <si>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</si>
  <si>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</si>
  <si>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</si>
  <si>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</si>
  <si>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Class</t>
  </si>
  <si>
    <t>Destroyer</t>
  </si>
  <si>
    <t>Character</t>
  </si>
  <si>
    <t>Harald Bluetooth</t>
  </si>
  <si>
    <t>Weapon</t>
  </si>
  <si>
    <t>Destroyer weapon</t>
  </si>
  <si>
    <t>Offhand</t>
  </si>
  <si>
    <t>Rune enhancement</t>
  </si>
  <si>
    <t>Body armour</t>
  </si>
  <si>
    <t>Accessory</t>
  </si>
  <si>
    <t>Base character CP</t>
  </si>
  <si>
    <t>Skill mitigation</t>
  </si>
  <si>
    <t>Spare</t>
  </si>
  <si>
    <t>Skill - max level</t>
  </si>
  <si>
    <t>Area of Effect</t>
  </si>
  <si>
    <t>Formula (base)</t>
  </si>
  <si>
    <t>Stat at SL 5</t>
  </si>
  <si>
    <t>Frozen Axe - 5</t>
  </si>
  <si>
    <t>Deals initial skill damage, applies damage over time, and inflicts immobilized  on enemies in the target row.</t>
  </si>
  <si>
    <t>Front</t>
  </si>
  <si>
    <t>Full Row</t>
  </si>
  <si>
    <t>Initial Satk</t>
  </si>
  <si>
    <t>4.8*K*2%*SL</t>
  </si>
  <si>
    <t>DOT Satk</t>
  </si>
  <si>
    <t>Deadly Strike - 5</t>
  </si>
  <si>
    <t>Deals heavy skill damage to one Front target. Usable only while the caster’s current HP is below 50% of Max HP.</t>
  </si>
  <si>
    <t>Single</t>
  </si>
  <si>
    <t>SAtk</t>
  </si>
  <si>
    <t>4.8*K*70%*SL</t>
  </si>
  <si>
    <t>Bluetooth Connection - 5</t>
  </si>
  <si>
    <t>Passive, Auto-cast</t>
  </si>
  <si>
    <t>At the start of each team turn, links with the two allies with the lowest HP to share damage. Grants Fortify and Resistance based on Bluetooth’s current DEF and SDEF, respectively.</t>
  </si>
  <si>
    <t>2 Lowest health teamates</t>
  </si>
  <si>
    <t>Shared damage after migation</t>
  </si>
  <si>
    <t>10%*SL</t>
  </si>
  <si>
    <t>Fortify</t>
  </si>
  <si>
    <t>3%*SL</t>
  </si>
  <si>
    <t>Resistance</t>
  </si>
  <si>
    <t>1.5%*SL</t>
  </si>
  <si>
    <t>Specialization 1</t>
  </si>
  <si>
    <t>Viking Striker</t>
  </si>
  <si>
    <t>Crushes enemy formations with brute force, sweeping attacks, and a devastating finishing strike.</t>
  </si>
  <si>
    <t>S1
Unlock skill Deadly strike</t>
  </si>
  <si>
    <t>S1.1.1 
Base AP recovery +10</t>
  </si>
  <si>
    <t>S1.1.2 
Deadly strike doesnt require condititon</t>
  </si>
  <si>
    <t>S1.1.3 
Attack effectiveness + 25%</t>
  </si>
  <si>
    <t>S1.1.4 Increased AP recovery +20%</t>
  </si>
  <si>
    <t>S1.2.1 
Base AP recovery +10</t>
  </si>
  <si>
    <t>S1.2.2 
Sub target damage penalty - 25%</t>
  </si>
  <si>
    <t>S1.2.3 
Base CHC + 25%</t>
  </si>
  <si>
    <t>S1.2.4 
Base MHR + 20%
Base CHC + 25%
Base CDB + 50%</t>
  </si>
  <si>
    <t>Specialization 2</t>
  </si>
  <si>
    <t>Viking Unifier</t>
  </si>
  <si>
    <t>Links and protects allies, weakens enemies, and sustains the team through shared strength.</t>
  </si>
  <si>
    <t>S2
Unlock skill Bluetooth connection</t>
  </si>
  <si>
    <t>S2.1.1 
Base DEF +476</t>
  </si>
  <si>
    <t>S2.1.2 
Frozen Axe applied Chill, AP recovery -10%, MHR -10%</t>
  </si>
  <si>
    <t>S2.1.3
Frozen Axe DOT effectiveness +200%</t>
  </si>
  <si>
    <t>S2.1.4
Bluetooth connection effectiveness +20%</t>
  </si>
  <si>
    <t>S2.2.1
Base HA + 20%</t>
  </si>
  <si>
    <t xml:space="preserve">S2.2.2
Frozen Axe applied Exposure -20% </t>
  </si>
  <si>
    <t>S2.2.3
When being attacked, has 20% chance to restore 0.5%  Max HP</t>
  </si>
  <si>
    <t>S2.2.4
Each team turn, restores 2.5% Max HP</t>
  </si>
  <si>
    <t>Warrior</t>
  </si>
  <si>
    <t>Joan of Arc</t>
  </si>
  <si>
    <t>Warrior weapon</t>
  </si>
  <si>
    <t>Rune Enhancement</t>
  </si>
  <si>
    <t>Light Saber - 5</t>
  </si>
  <si>
    <t>tần công bằng ánh sáng thần thánh.</t>
  </si>
  <si>
    <t>line adjecent</t>
  </si>
  <si>
    <t>Satk</t>
  </si>
  <si>
    <t>4.8*K*25%*SL</t>
  </si>
  <si>
    <t>Sub target Damage penalty</t>
  </si>
  <si>
    <t>Holy Guard - 5</t>
  </si>
  <si>
    <t xml:space="preserve">bảo vệ đồng minh bằng ánh sáng thần thành. trao immunity cho đồng minh. </t>
  </si>
  <si>
    <t>Any</t>
  </si>
  <si>
    <t>4.8*K*8%*SL</t>
  </si>
  <si>
    <t>Maid care - 5</t>
  </si>
  <si>
    <t>Passive - Auto cast</t>
  </si>
  <si>
    <t>Hộ vệ nhân vật chính, hồi máu và áp resistance dựa vào current SDEF của Jean</t>
  </si>
  <si>
    <t>Main character</t>
  </si>
  <si>
    <t>2%*SL</t>
  </si>
  <si>
    <t>Follow the God's path - 5</t>
  </si>
  <si>
    <t>Passive</t>
  </si>
  <si>
    <t>Chuyển đổi Final Atk sang Final Def và Final Sdef theo tỉ lệ nhất định</t>
  </si>
  <si>
    <t>Maximum FAtk to FDef</t>
  </si>
  <si>
    <t>8%*SL</t>
  </si>
  <si>
    <t>FAtk to FDef rate</t>
  </si>
  <si>
    <t>Maximum FAtk to Sdef</t>
  </si>
  <si>
    <t>FAtk to SDef rate</t>
  </si>
  <si>
    <t>The Martyr Saint - 5</t>
  </si>
  <si>
    <t>Infinitive</t>
  </si>
  <si>
    <t>ở đầu turn sau khi chết, ngay lập tức hồi sinh trong trạng thái spirit, trở invincible và tiếp tục hoạt động cho đến khi hết duration. trong trạng thái này, convert DEF và SDEF sang light saber Stak theo tỉ lệ nhất định</t>
  </si>
  <si>
    <t>Self</t>
  </si>
  <si>
    <t>Maximum FDEF to FSTAK</t>
  </si>
  <si>
    <t>FDef to FStak rate</t>
  </si>
  <si>
    <t>Maximum FSDEF to FStak</t>
  </si>
  <si>
    <t>FSDEF to FSTAK rate</t>
  </si>
  <si>
    <t>Holy Knight</t>
  </si>
  <si>
    <t>Hiệp sĩ được chúa chúc phúc, mang sứ mệnh giải phóng và dẫn dắt quốc gia</t>
  </si>
  <si>
    <t>S1
Unlock Maid care</t>
  </si>
  <si>
    <t>S1.1.1
Base AP recovery +10</t>
  </si>
  <si>
    <t>S1.1.2
DEF + 71%</t>
  </si>
  <si>
    <t>S1.1.3
Holy Guard applied Fortify 71%</t>
  </si>
  <si>
    <t>S1.1.4
Holy Guard also applied to main character when cast</t>
  </si>
  <si>
    <t>S1.2.1
Base HP + 4000</t>
  </si>
  <si>
    <t>S1.2.2
SDEF +34%</t>
  </si>
  <si>
    <t>S1.2.3
Maid care mana cost - 50%</t>
  </si>
  <si>
    <t>S1.2.4
Maid Care stat effectiveness + 40%</t>
  </si>
  <si>
    <t>Undying Flame</t>
  </si>
  <si>
    <t>Ý chí mạnh mẽ không thể bị tiêu diệt, dù cho thân xác có biến thành tro bụi</t>
  </si>
  <si>
    <t>Unlock Follow the God's path</t>
  </si>
  <si>
    <t>S2.1.1
Immune to DOT effect</t>
  </si>
  <si>
    <t>S2.1.2
Base HA + 20%</t>
  </si>
  <si>
    <t>S2.1.3
Holly guard also applied to self when cast</t>
  </si>
  <si>
    <t>S2.1.4
Unlock The Martyr Saint</t>
  </si>
  <si>
    <t>S2.1.5
Update The Martyr Saint to level 5</t>
  </si>
  <si>
    <t>S2.2.1
Base AP recovery +10</t>
  </si>
  <si>
    <t>S2.2.2
Holy Guard intial cooldown = 0</t>
  </si>
  <si>
    <t>S2.2.3
Base AP recovery +10</t>
  </si>
  <si>
    <t>Ranger</t>
  </si>
  <si>
    <t>Robin Hood</t>
  </si>
  <si>
    <t>Ranger weapon</t>
  </si>
  <si>
    <t>Arrow</t>
  </si>
  <si>
    <t>Golden Arrow Shot - 5</t>
  </si>
  <si>
    <t>Fires an unavoidable arrow that deals  skill damage.</t>
  </si>
  <si>
    <t>4.8*K*30%*SL</t>
  </si>
  <si>
    <t>Man Under the Hood - 5</t>
  </si>
  <si>
    <t>Grants Invisible and increased Critical Hit Chance. Immediately grants another action slot.</t>
  </si>
  <si>
    <t>increased CHC</t>
  </si>
  <si>
    <t>Thief’s Mark - 5</t>
  </si>
  <si>
    <t>Passive, Auto-Cast</t>
  </si>
  <si>
    <t>At the start of each team turn, marks the living enemy that has dealt the most total damage to your team during the battle. The marked enemy takes increased damage from Robin Hood.</t>
  </si>
  <si>
    <t>Highest-damage living enemy</t>
  </si>
  <si>
    <t>Damage received</t>
  </si>
  <si>
    <t>4%*SL</t>
  </si>
  <si>
    <t>Satk (upgrade)</t>
  </si>
  <si>
    <t>4.8*K*5%*SL</t>
  </si>
  <si>
    <t>Outlaw’s Mark - 5</t>
  </si>
  <si>
    <t>Marks the living enemy that has dealt the most total damage to your team during the battle, plus two other random living enemies. Marked enemies take increased damage.</t>
  </si>
  <si>
    <t>Primary target and 2 other random enemies</t>
  </si>
  <si>
    <t>Golden Arrow</t>
  </si>
  <si>
    <t>An unrivaled archer who strikes with precision and escapes unharmed.</t>
  </si>
  <si>
    <t>S1
Unlocks Man Under the Hood.</t>
  </si>
  <si>
    <t>S1.1.1
Atk + 10%
Base MHR +10%</t>
  </si>
  <si>
    <t>S1.1.2 
Base Acc +20%
Base MHR +10%</t>
  </si>
  <si>
    <t>S1.1.3
Man Under the Hood immediately restores 50 AP. Its cooldown is reduced by 2.</t>
  </si>
  <si>
    <t>S1.1.4
When hitting, has a 50% chance to trigger Golden Arrow Shot. Its cooldown and mana cost still applied</t>
  </si>
  <si>
    <t>S1.2.1
Golden Arrow Shot SATK +20%.</t>
  </si>
  <si>
    <t>S1.2.2
Golden Arrow Shot has a 20% chance to preserve the current action slot.</t>
  </si>
  <si>
    <t>S1.2.3
Golden Arrow Shot applies +2 Base Stun Count. Its SATK increases by 10%.</t>
  </si>
  <si>
    <t>S1.2.4
Golden Arrow Shot can critically strike using the character’s CHC and CDB.</t>
  </si>
  <si>
    <t>People's Champion</t>
  </si>
  <si>
    <t>Punishes enemies that have dealt the most damage to his team.</t>
  </si>
  <si>
    <t>S2
Unlocks Thief’s Mark.</t>
  </si>
  <si>
    <t>S2.1.1
Thief’s Mark Stat Effectiveness +20%.</t>
  </si>
  <si>
    <t>S2.1.2
Thief’s Mark costs no mana.</t>
  </si>
  <si>
    <t>S2.1.3
Thief’s Mark affects 1 additional targets follow its rules</t>
  </si>
  <si>
    <t>S2.2.1
Upgrades Thief’s Mark with Outlaw’s Mark, retaining all applicable passive upgrades to Thief’s Mark.</t>
  </si>
  <si>
    <t>S2.2.2
Outlaw’s Mark duration +1.</t>
  </si>
  <si>
    <t>S2.3.1
Base Eva +20%</t>
  </si>
  <si>
    <t>S2.3.2
Thief’s Mark also deals skill damage using its upgraded SATK.</t>
  </si>
  <si>
    <t>S2.3.3
Thief’s Mark also applies Silence for 2 global turns.</t>
  </si>
  <si>
    <t>Item</t>
  </si>
  <si>
    <t>Attack Target</t>
  </si>
  <si>
    <t>Area of attack</t>
  </si>
  <si>
    <t>Sub-target Damage penalty</t>
  </si>
  <si>
    <t>Value</t>
  </si>
  <si>
    <t>K relative</t>
  </si>
  <si>
    <t>CP per Stat Point</t>
  </si>
  <si>
    <t>CP</t>
  </si>
  <si>
    <t>Row adjection</t>
  </si>
  <si>
    <t>Soldier weapon</t>
  </si>
  <si>
    <t>Line adjection</t>
  </si>
  <si>
    <t>Piercer weapon</t>
  </si>
  <si>
    <t>Full line</t>
  </si>
  <si>
    <t>Subtarget 1: 50%. Sub target 2: 75%</t>
  </si>
  <si>
    <t>Devastator weapon</t>
  </si>
  <si>
    <t>Cross</t>
  </si>
  <si>
    <t>Caster weapon</t>
  </si>
  <si>
    <t>Shield</t>
  </si>
  <si>
    <t>Focus</t>
  </si>
  <si>
    <t>Ammunition</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</si>
  <si>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</si>
  <si>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</si>
  <si>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</si>
  <si>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</si>
  <si>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</si>
  <si>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</si>
  <si>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</si>
  <si>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</si>
  <si>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</si>
  <si>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</si>
  <si>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Effect</t>
  </si>
  <si>
    <t>Rage</t>
  </si>
  <si>
    <t>Increases Attack.</t>
  </si>
  <si>
    <t>Calm</t>
  </si>
  <si>
    <t>Increases Skill Attack.</t>
  </si>
  <si>
    <t>Increases Defense.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</si>
  <si>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</si>
  <si>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</si>
  <si>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</si>
  <si>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</si>
  <si>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</si>
  <si>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</si>
  <si>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</si>
  <si>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</si>
  <si>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</si>
  <si>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</si>
  <si>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</si>
  <si>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</si>
  <si>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</si>
  <si>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</si>
  <si>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</si>
  <si>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</si>
  <si>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</si>
  <si>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</si>
  <si>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</si>
  <si>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</si>
  <si>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</si>
  <si>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end of each global turn. multiple DOT source can stack with its own modifies</t>
  </si>
  <si>
    <t>Prevents receiving action slots and performing voluntary actions, including attacks, defending, swaps, and active skills. Sets Character Base AP Recovery to 0. Passive skills remain usable.</t>
  </si>
  <si>
    <t>Stun Count</t>
  </si>
  <si>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</si>
  <si>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</si>
  <si>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</si>
  <si>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</si>
  <si>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</si>
  <si>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Infinity</t>
  </si>
  <si>
    <t>Reduces AP Recovery and Multi-Hit Rate. Stackable. Maximum 5 stacks</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</si>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</sst>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 numFmtId="181" formatCode="#,##0;[Red]\-#,##0;&quot;-&quot;"/>
  </numFmts>
  <fonts count="21">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2" borderId="5">
      <alignment vertical="center"/>
    </xf>
    <xf numFmtId="0" fontId="6" fillId="0" borderId="0">
      <alignment vertical="center"/>
    </xf>
    <xf numFmtId="0" fontId="7" fillId="0" borderId="0">
      <alignment vertical="center"/>
    </xf>
    <xf numFmtId="0" fontId="8" fillId="0" borderId="0">
      <alignment vertical="center"/>
    </xf>
    <xf numFmtId="0" fontId="9" fillId="0" borderId="6">
      <alignment vertical="center"/>
    </xf>
    <xf numFmtId="0" fontId="10" fillId="0" borderId="6">
      <alignment vertical="center"/>
    </xf>
    <xf numFmtId="0" fontId="11" fillId="0" borderId="7">
      <alignment vertical="center"/>
    </xf>
    <xf numFmtId="0" fontId="11" fillId="0" borderId="0">
      <alignment vertical="center"/>
    </xf>
    <xf numFmtId="0" fontId="12" fillId="3" borderId="8">
      <alignment vertical="center"/>
    </xf>
    <xf numFmtId="0" fontId="13" fillId="4" borderId="9">
      <alignment vertical="center"/>
    </xf>
    <xf numFmtId="0" fontId="14" fillId="4" borderId="8">
      <alignment vertical="center"/>
    </xf>
    <xf numFmtId="0" fontId="15" fillId="5" borderId="10">
      <alignment vertical="center"/>
    </xf>
    <xf numFmtId="0" fontId="16" fillId="0" borderId="11">
      <alignment vertical="center"/>
    </xf>
    <xf numFmtId="0" fontId="1" fillId="0" borderId="12">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0" fillId="10" borderId="0">
      <alignment vertical="center"/>
    </xf>
    <xf numFmtId="0" fontId="0" fillId="11" borderId="0">
      <alignment vertical="center"/>
    </xf>
    <xf numFmtId="0" fontId="20" fillId="12" borderId="0">
      <alignment vertical="center"/>
    </xf>
    <xf numFmtId="0" fontId="20" fillId="13" borderId="0">
      <alignment vertical="center"/>
    </xf>
    <xf numFmtId="0" fontId="0" fillId="14" borderId="0">
      <alignment vertical="center"/>
    </xf>
    <xf numFmtId="0" fontId="0" fillId="15" borderId="0">
      <alignment vertical="center"/>
    </xf>
    <xf numFmtId="0" fontId="20" fillId="16" borderId="0">
      <alignment vertical="center"/>
    </xf>
    <xf numFmtId="0" fontId="20" fillId="17" borderId="0">
      <alignment vertical="center"/>
    </xf>
    <xf numFmtId="0" fontId="0" fillId="18" borderId="0">
      <alignment vertical="center"/>
    </xf>
    <xf numFmtId="0" fontId="0" fillId="19" borderId="0">
      <alignment vertical="center"/>
    </xf>
    <xf numFmtId="0" fontId="20" fillId="20" borderId="0">
      <alignment vertical="center"/>
    </xf>
    <xf numFmtId="0" fontId="20" fillId="21" borderId="0">
      <alignment vertical="center"/>
    </xf>
    <xf numFmtId="0" fontId="0" fillId="22" borderId="0">
      <alignment vertical="center"/>
    </xf>
    <xf numFmtId="0" fontId="0" fillId="23" borderId="0">
      <alignment vertical="center"/>
    </xf>
    <xf numFmtId="0" fontId="20" fillId="24" borderId="0">
      <alignment vertical="center"/>
    </xf>
    <xf numFmtId="0" fontId="20" fillId="25" borderId="0">
      <alignment vertical="center"/>
    </xf>
    <xf numFmtId="0" fontId="0" fillId="26" borderId="0">
      <alignment vertical="center"/>
    </xf>
    <xf numFmtId="0" fontId="0" fillId="27" borderId="0">
      <alignment vertical="center"/>
    </xf>
    <xf numFmtId="0" fontId="20" fillId="28" borderId="0">
      <alignment vertical="center"/>
    </xf>
    <xf numFmtId="0" fontId="20" fillId="29" borderId="0">
      <alignment vertical="center"/>
    </xf>
    <xf numFmtId="0" fontId="0" fillId="30" borderId="0">
      <alignment vertical="center"/>
    </xf>
    <xf numFmtId="0" fontId="0" fillId="31" borderId="0">
      <alignment vertical="center"/>
    </xf>
    <xf numFmtId="0" fontId="20" fillId="32" borderId="0">
      <alignment vertical="center"/>
    </xf>
  </cellStyleXfs>
  <cellXfs count="82">
    <xf numFmtId="0" fontId="0" fillId="0" borderId="0" xfId="0"/>
    <xf numFmtId="0" fontId="1" fillId="0" borderId="0" xfId="0" applyFont="1" applyAlignment="1">
      <alignment horizontal="center"/>
    </xf>
    <xf numFmtId="0" fontId="1"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0" fontId="0" fillId="0" borderId="2" xfId="0" applyBorder="1"/>
    <xf numFmtId="0" fontId="0" fillId="0" borderId="3" xfId="0" applyBorder="1"/>
    <xf numFmtId="9" fontId="0" fillId="0" borderId="1" xfId="3" applyNumberFormat="1" applyBorder="1" applyAlignment="1">
      <alignment horizontal="center"/>
    </xf>
    <xf numFmtId="10" fontId="0" fillId="0" borderId="1" xfId="3" applyNumberFormat="1" applyBorder="1" applyAlignment="1"/>
    <xf numFmtId="178" fontId="0" fillId="0" borderId="1" xfId="1" applyNumberFormat="1" applyBorder="1" applyAlignment="1">
      <alignment horizontal="left" vertical="center"/>
    </xf>
    <xf numFmtId="9" fontId="0" fillId="0" borderId="1" xfId="3" applyBorder="1" applyAlignment="1"/>
    <xf numFmtId="0" fontId="0" fillId="0" borderId="1" xfId="0" applyBorder="1" applyAlignment="1">
      <alignment horizontal="center"/>
    </xf>
    <xf numFmtId="0" fontId="0" fillId="0" borderId="1" xfId="0" applyBorder="1"/>
    <xf numFmtId="178" fontId="0" fillId="0" borderId="1" xfId="1" applyNumberFormat="1" applyBorder="1" applyAlignment="1">
      <alignment horizontal="right"/>
    </xf>
    <xf numFmtId="10" fontId="0" fillId="0" borderId="1" xfId="3" applyNumberFormat="1" applyBorder="1" applyAlignment="1">
      <alignment horizontal="right"/>
    </xf>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81" fontId="0" fillId="0" borderId="0" xfId="1" applyNumberFormat="1" applyAlignment="1"/>
    <xf numFmtId="181" fontId="0" fillId="0" borderId="0" xfId="0" applyNumberFormat="1"/>
    <xf numFmtId="9" fontId="0" fillId="0" borderId="0" xfId="3">
      <alignment vertical="center"/>
    </xf>
    <xf numFmtId="10" fontId="0" fillId="0" borderId="0" xfId="3" applyNumberFormat="1" applyAlignment="1"/>
    <xf numFmtId="10" fontId="0" fillId="0" borderId="0" xfId="0" applyNumberFormat="1"/>
    <xf numFmtId="178" fontId="1" fillId="0" borderId="0" xfId="0" applyNumberFormat="1" applyFont="1"/>
    <xf numFmtId="178" fontId="0" fillId="0" borderId="0" xfId="0" applyNumberFormat="1"/>
    <xf numFmtId="0" fontId="0" fillId="0" borderId="1" xfId="0" applyNumberFormat="1" applyBorder="1" applyAlignment="1">
      <alignment vertical="center" wrapText="1"/>
    </xf>
    <xf numFmtId="0" fontId="0" fillId="0" borderId="1" xfId="1" applyNumberFormat="1" applyBorder="1" applyAlignment="1">
      <alignment vertical="center" wrapText="1"/>
    </xf>
    <xf numFmtId="0" fontId="0" fillId="0" borderId="1" xfId="0" applyBorder="1" applyAlignment="1">
      <alignment vertical="center" wrapText="1"/>
    </xf>
    <xf numFmtId="0" fontId="0" fillId="0" borderId="4" xfId="0"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0" fillId="0" borderId="2" xfId="0" applyBorder="1" applyAlignment="1">
      <alignment horizontal="left" vertical="center" wrapText="1"/>
    </xf>
    <xf numFmtId="178" fontId="0" fillId="0" borderId="0" xfId="1" applyNumberFormat="1">
      <alignment vertical="center"/>
    </xf>
    <xf numFmtId="9" fontId="0" fillId="0" borderId="1" xfId="3" applyNumberFormat="1" applyBorder="1" applyAlignment="1">
      <alignment vertical="center" wrapText="1"/>
    </xf>
    <xf numFmtId="9" fontId="0" fillId="0" borderId="1" xfId="3" applyBorder="1" applyAlignment="1">
      <alignment vertical="center" wrapText="1"/>
    </xf>
    <xf numFmtId="0" fontId="0" fillId="0" borderId="4" xfId="0" applyNumberFormat="1" applyBorder="1" applyAlignment="1">
      <alignment horizontal="center" vertical="center" wrapText="1"/>
    </xf>
    <xf numFmtId="0" fontId="0" fillId="0" borderId="2" xfId="0" applyNumberFormat="1" applyBorder="1" applyAlignment="1">
      <alignment horizontal="center" vertical="center" wrapText="1"/>
    </xf>
    <xf numFmtId="0" fontId="0" fillId="0" borderId="3" xfId="0" applyNumberFormat="1" applyBorder="1" applyAlignment="1">
      <alignment horizontal="center" vertical="center" wrapText="1"/>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wrapText="1"/>
    </xf>
    <xf numFmtId="9" fontId="0" fillId="0" borderId="1" xfId="0" applyNumberFormat="1" applyBorder="1" applyAlignment="1">
      <alignment vertical="center" wrapText="1"/>
    </xf>
    <xf numFmtId="9" fontId="0" fillId="0" borderId="1" xfId="3" applyBorder="1">
      <alignment vertical="center"/>
    </xf>
    <xf numFmtId="9" fontId="0" fillId="0" borderId="1" xfId="3" applyNumberFormat="1" applyBorder="1">
      <alignment vertical="center"/>
    </xf>
    <xf numFmtId="0" fontId="0" fillId="0" borderId="1" xfId="0" applyBorder="1" applyAlignment="1"/>
    <xf numFmtId="0" fontId="0" fillId="0" borderId="1" xfId="1" applyNumberFormat="1" applyBorder="1" applyAlignment="1">
      <alignment horizontal="left" vertical="center" wrapText="1"/>
    </xf>
    <xf numFmtId="0" fontId="0" fillId="0" borderId="1" xfId="0" applyNumberFormat="1" applyBorder="1" applyAlignment="1">
      <alignment horizontal="left" vertical="center" wrapText="1"/>
    </xf>
    <xf numFmtId="0" fontId="0" fillId="0" borderId="4" xfId="1"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3" xfId="1" applyNumberFormat="1" applyBorder="1" applyAlignment="1">
      <alignment horizontal="left" vertical="center" wrapText="1"/>
    </xf>
    <xf numFmtId="0" fontId="0" fillId="0" borderId="4" xfId="0" applyNumberFormat="1" applyBorder="1" applyAlignment="1">
      <alignment horizontal="left" vertical="center" wrapText="1"/>
    </xf>
    <xf numFmtId="0" fontId="0" fillId="0" borderId="4" xfId="1" applyNumberFormat="1" applyBorder="1" applyAlignment="1">
      <alignment horizontal="center" vertical="center" wrapText="1"/>
    </xf>
    <xf numFmtId="0" fontId="0" fillId="0" borderId="4" xfId="0" applyNumberFormat="1" applyBorder="1" applyAlignment="1">
      <alignment horizontal="center" vertical="center" wrapText="1"/>
    </xf>
    <xf numFmtId="9" fontId="0" fillId="0" borderId="1" xfId="3" applyNumberFormat="1" applyBorder="1" applyAlignment="1">
      <alignment horizontal="left" vertical="center"/>
    </xf>
    <xf numFmtId="9" fontId="0" fillId="0" borderId="1" xfId="3" applyBorder="1" applyAlignment="1">
      <alignment horizontal="left" vertical="center"/>
    </xf>
    <xf numFmtId="0" fontId="0" fillId="0" borderId="0" xfId="0" applyAlignment="1">
      <alignment wrapText="1"/>
    </xf>
    <xf numFmtId="0" fontId="2" fillId="0" borderId="0" xfId="0" applyFont="1"/>
    <xf numFmtId="0" fontId="3" fillId="0" borderId="0" xfId="0" applyFont="1"/>
    <xf numFmtId="0" fontId="0" fillId="0" borderId="0" xfId="0" applyAlignment="1">
      <alignment horizontal="left"/>
    </xf>
    <xf numFmtId="0" fontId="0" fillId="0" borderId="0" xfId="0" applyAlignment="1"/>
    <xf numFmtId="0" fontId="0" fillId="0" borderId="0" xfId="0" applyFont="1" applyAlignment="1">
      <alignment horizontal="left"/>
    </xf>
    <xf numFmtId="0" fontId="0" fillId="0" borderId="0" xfId="0" applyFont="1" applyAlignment="1"/>
    <xf numFmtId="0" fontId="0" fillId="0" borderId="0" xfId="0" applyFont="1"/>
    <xf numFmtId="0" fontId="0" fillId="0" borderId="0" xfId="0" applyAlignment="1"/>
    <xf numFmtId="0" fontId="1" fillId="0" borderId="0" xfId="0" applyFont="1" applyAlignment="1">
      <alignment horizontal="center" wrapText="1"/>
    </xf>
    <xf numFmtId="0" fontId="1" fillId="0" borderId="0" xfId="0" applyFont="1" applyAlignment="1">
      <alignment horizont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www.wps.cn/officeDocument/2023/relationships/customStorage" Target="customStorage/customStorage.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36" workbookViewId="0">
      <selection activeCell="C74" sqref="C74"/>
    </sheetView>
  </sheetViews>
  <sheetFormatPr defaultColWidth="9.14285714285714" defaultRowHeight="15" outlineLevelCol="2"/>
  <cols>
    <col min="1" max="1" width="29.2857142857143" customWidth="1"/>
    <col min="2" max="2" width="30.5714285714286" customWidth="1"/>
    <col min="3" max="3" width="161.714285714286" customWidth="1"/>
  </cols>
  <sheetData>
    <row r="1" customFormat="1" ht="61" customHeight="1" spans="1:1">
      <c r="A1" s="81" t="s">
        <v>25</v>
      </c>
    </row>
    <row r="3" spans="1:3">
      <c r="A3" s="23" t="s">
        <v>26</v>
      </c>
      <c r="B3" s="23" t="s">
        <v>27</v>
      </c>
      <c r="C3" s="23" t="s">
        <v>28</v>
      </c>
    </row>
    <row r="4" spans="1:3">
      <c r="A4" s="23" t="s">
        <v>29</v>
      </c>
      <c r="B4" s="23" t="s">
        <v>30</v>
      </c>
      <c r="C4" s="23" t="s">
        <v>31</v>
      </c>
    </row>
    <row r="5" spans="1:3">
      <c r="A5" s="23" t="s">
        <v>29</v>
      </c>
      <c r="B5" s="23" t="s">
        <v>32</v>
      </c>
      <c r="C5" s="23" t="s">
        <v>33</v>
      </c>
    </row>
    <row r="6" spans="1:3">
      <c r="A6" s="23" t="s">
        <v>29</v>
      </c>
      <c r="B6" s="23" t="s">
        <v>34</v>
      </c>
      <c r="C6" s="23" t="s">
        <v>35</v>
      </c>
    </row>
    <row r="7" spans="1:3">
      <c r="A7" s="71" t="s">
        <v>29</v>
      </c>
      <c r="B7" s="71" t="s">
        <v>36</v>
      </c>
      <c r="C7" s="71" t="s">
        <v>37</v>
      </c>
    </row>
    <row r="8" spans="1:3">
      <c r="A8" s="71" t="s">
        <v>29</v>
      </c>
      <c r="B8" s="71" t="s">
        <v>30</v>
      </c>
      <c r="C8" s="71" t="s">
        <v>38</v>
      </c>
    </row>
    <row r="9" spans="1:3">
      <c r="A9" s="23" t="s">
        <v>39</v>
      </c>
      <c r="B9" s="23" t="s">
        <v>40</v>
      </c>
      <c r="C9" s="23" t="s">
        <v>41</v>
      </c>
    </row>
    <row r="10" spans="1:3">
      <c r="A10" s="23" t="s">
        <v>39</v>
      </c>
      <c r="B10" s="23" t="s">
        <v>42</v>
      </c>
      <c r="C10" s="23" t="s">
        <v>43</v>
      </c>
    </row>
    <row r="11" spans="1:3">
      <c r="A11" s="23" t="s">
        <v>44</v>
      </c>
      <c r="B11" s="23" t="s">
        <v>45</v>
      </c>
      <c r="C11" s="23" t="s">
        <v>46</v>
      </c>
    </row>
    <row r="12" spans="1:3">
      <c r="A12" s="23" t="s">
        <v>44</v>
      </c>
      <c r="B12" s="23" t="s">
        <v>47</v>
      </c>
      <c r="C12" s="23" t="s">
        <v>48</v>
      </c>
    </row>
    <row r="13" spans="1:3">
      <c r="A13" s="23" t="s">
        <v>44</v>
      </c>
      <c r="B13" s="23" t="s">
        <v>49</v>
      </c>
      <c r="C13" s="23" t="s">
        <v>50</v>
      </c>
    </row>
    <row r="14" spans="1:3">
      <c r="A14" s="23" t="s">
        <v>44</v>
      </c>
      <c r="B14" s="23" t="s">
        <v>51</v>
      </c>
      <c r="C14" s="23" t="s">
        <v>52</v>
      </c>
    </row>
    <row r="15" spans="1:3">
      <c r="A15" s="23" t="s">
        <v>44</v>
      </c>
      <c r="B15" s="23" t="s">
        <v>53</v>
      </c>
      <c r="C15" s="23" t="s">
        <v>54</v>
      </c>
    </row>
    <row r="16" spans="1:3">
      <c r="A16" s="23" t="s">
        <v>44</v>
      </c>
      <c r="B16" s="23" t="s">
        <v>55</v>
      </c>
      <c r="C16" s="23" t="s">
        <v>56</v>
      </c>
    </row>
    <row r="17" spans="1:3">
      <c r="A17" s="23" t="s">
        <v>57</v>
      </c>
      <c r="B17" s="23" t="s">
        <v>58</v>
      </c>
      <c r="C17" s="23" t="s">
        <v>59</v>
      </c>
    </row>
    <row r="18" spans="1:3">
      <c r="A18" s="23" t="s">
        <v>57</v>
      </c>
      <c r="B18" s="23" t="s">
        <v>60</v>
      </c>
      <c r="C18" s="23" t="s">
        <v>61</v>
      </c>
    </row>
    <row r="19" spans="1:3">
      <c r="A19" s="23" t="s">
        <v>57</v>
      </c>
      <c r="B19" s="23" t="s">
        <v>62</v>
      </c>
      <c r="C19" s="23" t="s">
        <v>63</v>
      </c>
    </row>
    <row r="20" spans="1:3">
      <c r="A20" s="23" t="s">
        <v>64</v>
      </c>
      <c r="B20" s="23" t="s">
        <v>65</v>
      </c>
      <c r="C20" s="23" t="s">
        <v>66</v>
      </c>
    </row>
    <row r="21" spans="1:3">
      <c r="A21" s="23" t="s">
        <v>64</v>
      </c>
      <c r="B21" s="23" t="s">
        <v>67</v>
      </c>
      <c r="C21" s="23" t="s">
        <v>68</v>
      </c>
    </row>
    <row r="22" spans="1:3">
      <c r="A22" s="23" t="s">
        <v>64</v>
      </c>
      <c r="B22" s="23" t="s">
        <v>69</v>
      </c>
      <c r="C22" s="23" t="s">
        <v>70</v>
      </c>
    </row>
    <row r="23" spans="1:3">
      <c r="A23" s="23" t="s">
        <v>64</v>
      </c>
      <c r="B23" s="23" t="s">
        <v>71</v>
      </c>
      <c r="C23" s="23" t="s">
        <v>72</v>
      </c>
    </row>
    <row r="24" spans="1:3">
      <c r="A24" s="23" t="s">
        <v>64</v>
      </c>
      <c r="B24" s="23" t="s">
        <v>73</v>
      </c>
      <c r="C24" s="23" t="s">
        <v>74</v>
      </c>
    </row>
    <row r="25" spans="1:3">
      <c r="A25" s="23" t="s">
        <v>64</v>
      </c>
      <c r="B25" s="23" t="s">
        <v>75</v>
      </c>
      <c r="C25" t="s">
        <v>76</v>
      </c>
    </row>
    <row r="26" spans="1:3">
      <c r="A26" s="23" t="s">
        <v>64</v>
      </c>
      <c r="B26" s="23" t="s">
        <v>77</v>
      </c>
      <c r="C26" s="23" t="s">
        <v>78</v>
      </c>
    </row>
    <row r="27" spans="1:3">
      <c r="A27" s="23" t="s">
        <v>79</v>
      </c>
      <c r="B27" s="23" t="s">
        <v>80</v>
      </c>
      <c r="C27" s="23" t="s">
        <v>81</v>
      </c>
    </row>
    <row r="28" spans="1:3">
      <c r="A28" s="23" t="s">
        <v>79</v>
      </c>
      <c r="B28" s="23" t="s">
        <v>82</v>
      </c>
      <c r="C28" s="23" t="s">
        <v>83</v>
      </c>
    </row>
    <row r="29" spans="1:3">
      <c r="A29" s="23" t="s">
        <v>84</v>
      </c>
      <c r="B29" s="23" t="s">
        <v>85</v>
      </c>
      <c r="C29" s="23" t="s">
        <v>86</v>
      </c>
    </row>
    <row r="30" spans="1:3">
      <c r="A30" s="23" t="s">
        <v>84</v>
      </c>
      <c r="B30" s="23" t="s">
        <v>87</v>
      </c>
      <c r="C30" s="23" t="s">
        <v>88</v>
      </c>
    </row>
    <row r="31" spans="1:3">
      <c r="A31" s="23" t="s">
        <v>89</v>
      </c>
      <c r="B31" s="23" t="s">
        <v>85</v>
      </c>
      <c r="C31" s="23" t="s">
        <v>90</v>
      </c>
    </row>
    <row r="32" spans="1:3">
      <c r="A32" s="23" t="s">
        <v>89</v>
      </c>
      <c r="B32" s="23" t="s">
        <v>87</v>
      </c>
      <c r="C32" s="23" t="s">
        <v>91</v>
      </c>
    </row>
    <row r="33" spans="1:3">
      <c r="A33" s="23" t="s">
        <v>92</v>
      </c>
      <c r="B33" s="23" t="s">
        <v>85</v>
      </c>
      <c r="C33" s="23" t="s">
        <v>93</v>
      </c>
    </row>
    <row r="34" spans="1:3">
      <c r="A34" s="23" t="s">
        <v>92</v>
      </c>
      <c r="B34" s="23" t="s">
        <v>94</v>
      </c>
      <c r="C34" s="23" t="s">
        <v>95</v>
      </c>
    </row>
    <row r="35" spans="1:3">
      <c r="A35" s="23" t="s">
        <v>92</v>
      </c>
      <c r="B35" s="23" t="s">
        <v>96</v>
      </c>
      <c r="C35" s="23" t="s">
        <v>97</v>
      </c>
    </row>
    <row r="36" spans="1:3">
      <c r="A36" s="23" t="s">
        <v>92</v>
      </c>
      <c r="B36" s="23" t="s">
        <v>98</v>
      </c>
      <c r="C36" s="23" t="s">
        <v>99</v>
      </c>
    </row>
    <row r="37" spans="1:3">
      <c r="A37" s="23" t="s">
        <v>92</v>
      </c>
      <c r="B37" s="23" t="s">
        <v>100</v>
      </c>
      <c r="C37" s="23" t="s">
        <v>101</v>
      </c>
    </row>
    <row r="38" spans="1:3">
      <c r="A38" s="23" t="s">
        <v>102</v>
      </c>
      <c r="B38" s="23" t="s">
        <v>85</v>
      </c>
      <c r="C38" s="23" t="s">
        <v>103</v>
      </c>
    </row>
    <row r="39" spans="1:3">
      <c r="A39" s="23" t="s">
        <v>102</v>
      </c>
      <c r="B39" s="23" t="s">
        <v>104</v>
      </c>
      <c r="C39" s="23" t="s">
        <v>105</v>
      </c>
    </row>
    <row r="40" spans="1:3">
      <c r="A40" s="23" t="s">
        <v>102</v>
      </c>
      <c r="B40" s="23" t="s">
        <v>106</v>
      </c>
      <c r="C40" s="23" t="s">
        <v>107</v>
      </c>
    </row>
    <row r="41" spans="1:3">
      <c r="A41" s="23" t="s">
        <v>102</v>
      </c>
      <c r="B41" s="23" t="s">
        <v>108</v>
      </c>
      <c r="C41" s="23" t="s">
        <v>109</v>
      </c>
    </row>
    <row r="42" spans="1:3">
      <c r="A42" s="23" t="s">
        <v>102</v>
      </c>
      <c r="B42" s="23" t="s">
        <v>110</v>
      </c>
      <c r="C42" t="s">
        <v>111</v>
      </c>
    </row>
    <row r="43" spans="1:3">
      <c r="A43" s="23" t="s">
        <v>102</v>
      </c>
      <c r="B43" s="23" t="s">
        <v>112</v>
      </c>
      <c r="C43" t="s">
        <v>113</v>
      </c>
    </row>
    <row r="44" spans="1:3">
      <c r="A44" s="23" t="s">
        <v>102</v>
      </c>
      <c r="B44" s="23" t="s">
        <v>114</v>
      </c>
      <c r="C44" t="s">
        <v>115</v>
      </c>
    </row>
    <row r="45" spans="1:3">
      <c r="A45" s="23" t="s">
        <v>116</v>
      </c>
      <c r="B45" s="23" t="s">
        <v>85</v>
      </c>
      <c r="C45" s="23" t="s">
        <v>117</v>
      </c>
    </row>
    <row r="46" spans="1:3">
      <c r="A46" s="23" t="s">
        <v>116</v>
      </c>
      <c r="B46" s="23" t="s">
        <v>87</v>
      </c>
      <c r="C46" s="23" t="s">
        <v>118</v>
      </c>
    </row>
    <row r="47" spans="1:3">
      <c r="A47" s="23" t="s">
        <v>116</v>
      </c>
      <c r="B47" s="23" t="s">
        <v>119</v>
      </c>
      <c r="C47" s="23" t="s">
        <v>120</v>
      </c>
    </row>
    <row r="48" spans="1:3">
      <c r="A48" s="23" t="s">
        <v>121</v>
      </c>
      <c r="B48" s="23" t="s">
        <v>122</v>
      </c>
      <c r="C48" s="23" t="s">
        <v>123</v>
      </c>
    </row>
    <row r="49" spans="1:3">
      <c r="A49" s="23" t="s">
        <v>121</v>
      </c>
      <c r="B49" s="23" t="s">
        <v>124</v>
      </c>
      <c r="C49" s="23" t="s">
        <v>125</v>
      </c>
    </row>
    <row r="50" spans="1:3">
      <c r="A50" s="23" t="s">
        <v>121</v>
      </c>
      <c r="B50" s="23" t="s">
        <v>126</v>
      </c>
      <c r="C50" s="23" t="s">
        <v>127</v>
      </c>
    </row>
    <row r="51" spans="1:3">
      <c r="A51" s="23" t="s">
        <v>121</v>
      </c>
      <c r="B51" s="23" t="s">
        <v>128</v>
      </c>
      <c r="C51" s="23" t="s">
        <v>129</v>
      </c>
    </row>
    <row r="52" spans="1:3">
      <c r="A52" s="23" t="s">
        <v>121</v>
      </c>
      <c r="B52" s="23" t="s">
        <v>130</v>
      </c>
      <c r="C52" s="23" t="s">
        <v>131</v>
      </c>
    </row>
    <row r="53" spans="1:3">
      <c r="A53" s="23" t="s">
        <v>132</v>
      </c>
      <c r="B53" s="23" t="s">
        <v>133</v>
      </c>
      <c r="C53" s="23" t="s">
        <v>134</v>
      </c>
    </row>
    <row r="54" spans="1:3">
      <c r="A54" s="23" t="s">
        <v>135</v>
      </c>
      <c r="B54" s="23" t="s">
        <v>136</v>
      </c>
      <c r="C54" s="23" t="s">
        <v>137</v>
      </c>
    </row>
    <row r="55" spans="1:3">
      <c r="A55" s="23" t="s">
        <v>135</v>
      </c>
      <c r="B55" s="23" t="s">
        <v>138</v>
      </c>
      <c r="C55" t="s">
        <v>139</v>
      </c>
    </row>
    <row r="56" spans="1:3">
      <c r="A56" s="23" t="s">
        <v>135</v>
      </c>
      <c r="B56" s="23" t="s">
        <v>140</v>
      </c>
      <c r="C56" s="23" t="s">
        <v>141</v>
      </c>
    </row>
    <row r="57" customFormat="1" spans="1:3">
      <c r="A57" s="23" t="s">
        <v>142</v>
      </c>
      <c r="B57" s="23" t="s">
        <v>67</v>
      </c>
      <c r="C57" s="23" t="s">
        <v>143</v>
      </c>
    </row>
    <row r="58" customFormat="1" spans="1:3">
      <c r="A58" t="s">
        <v>142</v>
      </c>
      <c r="B58" t="s">
        <v>144</v>
      </c>
      <c r="C58" t="s">
        <v>145</v>
      </c>
    </row>
    <row r="59" customFormat="1" spans="1:3">
      <c r="A59" s="71" t="s">
        <v>146</v>
      </c>
      <c r="B59" s="71" t="s">
        <v>147</v>
      </c>
      <c r="C59" s="71" t="s">
        <v>148</v>
      </c>
    </row>
    <row r="60" customFormat="1" spans="1:3">
      <c r="A60" s="71" t="s">
        <v>146</v>
      </c>
      <c r="B60" s="71" t="s">
        <v>149</v>
      </c>
      <c r="C60" s="71" t="s">
        <v>150</v>
      </c>
    </row>
    <row r="61" customFormat="1" spans="1:3">
      <c r="A61" s="71" t="s">
        <v>146</v>
      </c>
      <c r="B61" s="71" t="s">
        <v>151</v>
      </c>
      <c r="C61" s="71" t="s">
        <v>152</v>
      </c>
    </row>
    <row r="62" customFormat="1" spans="1:3">
      <c r="A62" s="71" t="s">
        <v>146</v>
      </c>
      <c r="B62" s="71" t="s">
        <v>153</v>
      </c>
      <c r="C62" s="71" t="s">
        <v>154</v>
      </c>
    </row>
    <row r="63" spans="1:3">
      <c r="A63" s="71" t="s">
        <v>146</v>
      </c>
      <c r="B63" s="71" t="s">
        <v>155</v>
      </c>
      <c r="C63" s="71" t="s">
        <v>156</v>
      </c>
    </row>
    <row r="64" spans="1:3">
      <c r="A64" s="71" t="s">
        <v>146</v>
      </c>
      <c r="B64" s="71" t="s">
        <v>157</v>
      </c>
      <c r="C64" s="71" t="s">
        <v>158</v>
      </c>
    </row>
    <row r="65" spans="1:3">
      <c r="A65" s="71" t="s">
        <v>159</v>
      </c>
      <c r="B65" s="71" t="s">
        <v>160</v>
      </c>
      <c r="C65" s="71" t="s">
        <v>161</v>
      </c>
    </row>
    <row r="66" spans="1:3">
      <c r="A66" s="71" t="s">
        <v>159</v>
      </c>
      <c r="B66" s="71" t="s">
        <v>162</v>
      </c>
      <c r="C66" s="71" t="s">
        <v>163</v>
      </c>
    </row>
    <row r="67" spans="1:3">
      <c r="A67" s="71" t="s">
        <v>159</v>
      </c>
      <c r="B67" s="71" t="s">
        <v>164</v>
      </c>
      <c r="C67" s="71" t="s">
        <v>165</v>
      </c>
    </row>
    <row r="68" spans="1:3">
      <c r="A68" s="71" t="s">
        <v>159</v>
      </c>
      <c r="B68" s="71" t="s">
        <v>166</v>
      </c>
      <c r="C68" s="71" t="s">
        <v>167</v>
      </c>
    </row>
    <row r="69" ht="30" spans="1:3">
      <c r="A69" s="71" t="s">
        <v>159</v>
      </c>
      <c r="B69" s="71" t="s">
        <v>168</v>
      </c>
      <c r="C69" s="71" t="s">
        <v>169</v>
      </c>
    </row>
    <row r="70" spans="1:3">
      <c r="A70" s="71" t="s">
        <v>170</v>
      </c>
      <c r="B70" s="71" t="s">
        <v>171</v>
      </c>
      <c r="C70" s="71" t="s">
        <v>172</v>
      </c>
    </row>
    <row r="71" spans="1:3">
      <c r="A71" s="71" t="s">
        <v>170</v>
      </c>
      <c r="B71" s="71" t="s">
        <v>173</v>
      </c>
      <c r="C71" s="71" t="s">
        <v>174</v>
      </c>
    </row>
    <row r="72" spans="1:3">
      <c r="A72" s="71" t="s">
        <v>170</v>
      </c>
      <c r="B72" s="71" t="s">
        <v>175</v>
      </c>
      <c r="C72" s="71" t="s">
        <v>176</v>
      </c>
    </row>
    <row r="73" spans="1:3">
      <c r="A73" s="71" t="s">
        <v>170</v>
      </c>
      <c r="B73" s="71" t="s">
        <v>177</v>
      </c>
      <c r="C73" s="71" t="s">
        <v>178</v>
      </c>
    </row>
    <row r="74" spans="1:3">
      <c r="A74" s="71" t="s">
        <v>170</v>
      </c>
      <c r="B74" s="71" t="s">
        <v>179</v>
      </c>
      <c r="C74" s="71" t="s">
        <v>180</v>
      </c>
    </row>
    <row r="75" spans="1:3">
      <c r="A75" s="71" t="s">
        <v>170</v>
      </c>
      <c r="B75" s="71" t="s">
        <v>181</v>
      </c>
      <c r="C75" s="71" t="s">
        <v>182</v>
      </c>
    </row>
    <row r="76" spans="1:3">
      <c r="A76" s="71" t="s">
        <v>170</v>
      </c>
      <c r="B76" s="71" t="s">
        <v>183</v>
      </c>
      <c r="C76" s="71" t="s">
        <v>184</v>
      </c>
    </row>
  </sheetData>
  <mergeCells count="1">
    <mergeCell ref="A1:C1"/>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4"/>
  <sheetViews>
    <sheetView topLeftCell="A16" workbookViewId="0">
      <selection activeCell="A43" sqref="A43:D43"/>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185</v>
      </c>
      <c r="B1" t="s">
        <v>186</v>
      </c>
      <c r="C1" t="s">
        <v>187</v>
      </c>
      <c r="D1" t="s">
        <v>188</v>
      </c>
      <c r="E1" t="s">
        <v>160</v>
      </c>
    </row>
    <row r="2" spans="1:5">
      <c r="A2" t="s">
        <v>189</v>
      </c>
      <c r="B2" t="s">
        <v>190</v>
      </c>
      <c r="C2" t="s">
        <v>191</v>
      </c>
      <c r="D2" t="s">
        <v>192</v>
      </c>
      <c r="E2" t="s">
        <v>193</v>
      </c>
    </row>
    <row r="3" spans="1:5">
      <c r="A3" t="s">
        <v>194</v>
      </c>
      <c r="B3" t="s">
        <v>195</v>
      </c>
      <c r="C3" t="s">
        <v>191</v>
      </c>
      <c r="D3" t="s">
        <v>196</v>
      </c>
      <c r="E3" t="s">
        <v>197</v>
      </c>
    </row>
    <row r="4" spans="1:5">
      <c r="A4" t="s">
        <v>198</v>
      </c>
      <c r="B4" t="s">
        <v>199</v>
      </c>
      <c r="C4" t="s">
        <v>191</v>
      </c>
      <c r="D4" t="s">
        <v>200</v>
      </c>
      <c r="E4" t="s">
        <v>201</v>
      </c>
    </row>
    <row r="5" spans="1:5">
      <c r="A5" t="s">
        <v>202</v>
      </c>
      <c r="B5" t="s">
        <v>203</v>
      </c>
      <c r="C5" t="s">
        <v>191</v>
      </c>
      <c r="D5" t="s">
        <v>204</v>
      </c>
      <c r="E5" t="s">
        <v>205</v>
      </c>
    </row>
    <row r="6" spans="1:5">
      <c r="A6" t="s">
        <v>206</v>
      </c>
      <c r="B6" t="s">
        <v>207</v>
      </c>
      <c r="C6" t="s">
        <v>191</v>
      </c>
      <c r="D6" t="s">
        <v>208</v>
      </c>
      <c r="E6" t="s">
        <v>209</v>
      </c>
    </row>
    <row r="7" spans="1:5">
      <c r="A7" t="s">
        <v>210</v>
      </c>
      <c r="B7" t="s">
        <v>211</v>
      </c>
      <c r="C7" t="s">
        <v>191</v>
      </c>
      <c r="D7" t="s">
        <v>212</v>
      </c>
      <c r="E7" t="s">
        <v>213</v>
      </c>
    </row>
    <row r="8" spans="1:5">
      <c r="A8" t="s">
        <v>214</v>
      </c>
      <c r="B8" t="s">
        <v>34</v>
      </c>
      <c r="C8" t="s">
        <v>191</v>
      </c>
      <c r="D8" t="s">
        <v>215</v>
      </c>
      <c r="E8" t="s">
        <v>216</v>
      </c>
    </row>
    <row r="9" spans="1:5">
      <c r="A9" t="s">
        <v>217</v>
      </c>
      <c r="B9" t="s">
        <v>218</v>
      </c>
      <c r="C9" t="s">
        <v>191</v>
      </c>
      <c r="D9" t="s">
        <v>219</v>
      </c>
      <c r="E9" t="s">
        <v>220</v>
      </c>
    </row>
    <row r="10" spans="1:5">
      <c r="A10" t="s">
        <v>221</v>
      </c>
      <c r="B10" t="s">
        <v>222</v>
      </c>
      <c r="C10" t="s">
        <v>191</v>
      </c>
      <c r="E10" t="s">
        <v>223</v>
      </c>
    </row>
    <row r="11" spans="1:5">
      <c r="A11" t="s">
        <v>224</v>
      </c>
      <c r="B11" t="s">
        <v>225</v>
      </c>
      <c r="C11" t="s">
        <v>226</v>
      </c>
      <c r="D11" t="s">
        <v>227</v>
      </c>
      <c r="E11" t="s">
        <v>228</v>
      </c>
    </row>
    <row r="12" spans="1:5">
      <c r="A12" t="s">
        <v>229</v>
      </c>
      <c r="B12" t="s">
        <v>230</v>
      </c>
      <c r="C12" t="s">
        <v>226</v>
      </c>
      <c r="D12" t="s">
        <v>231</v>
      </c>
      <c r="E12" t="s">
        <v>232</v>
      </c>
    </row>
    <row r="13" spans="1:5">
      <c r="A13" t="s">
        <v>233</v>
      </c>
      <c r="B13" t="s">
        <v>234</v>
      </c>
      <c r="C13" t="s">
        <v>226</v>
      </c>
      <c r="D13" t="s">
        <v>235</v>
      </c>
      <c r="E13" t="s">
        <v>236</v>
      </c>
    </row>
    <row r="14" spans="1:5">
      <c r="A14" t="s">
        <v>237</v>
      </c>
      <c r="B14" t="s">
        <v>238</v>
      </c>
      <c r="C14" t="s">
        <v>226</v>
      </c>
      <c r="D14" t="s">
        <v>239</v>
      </c>
      <c r="E14" t="s">
        <v>240</v>
      </c>
    </row>
    <row r="15" spans="1:5">
      <c r="A15" t="s">
        <v>241</v>
      </c>
      <c r="B15" t="s">
        <v>242</v>
      </c>
      <c r="C15" t="s">
        <v>226</v>
      </c>
      <c r="D15" t="s">
        <v>243</v>
      </c>
      <c r="E15" t="s">
        <v>244</v>
      </c>
    </row>
    <row r="16" spans="1:5">
      <c r="A16" t="s">
        <v>245</v>
      </c>
      <c r="B16" t="s">
        <v>246</v>
      </c>
      <c r="C16" t="s">
        <v>226</v>
      </c>
      <c r="D16" t="s">
        <v>247</v>
      </c>
      <c r="E16" t="s">
        <v>248</v>
      </c>
    </row>
    <row r="17" spans="1:5">
      <c r="A17" t="s">
        <v>249</v>
      </c>
      <c r="B17" t="s">
        <v>250</v>
      </c>
      <c r="C17" t="s">
        <v>226</v>
      </c>
      <c r="D17" t="s">
        <v>251</v>
      </c>
      <c r="E17" t="s">
        <v>252</v>
      </c>
    </row>
    <row r="18" spans="1:5">
      <c r="A18" t="s">
        <v>253</v>
      </c>
      <c r="B18" t="s">
        <v>254</v>
      </c>
      <c r="C18" t="s">
        <v>226</v>
      </c>
      <c r="D18" t="s">
        <v>255</v>
      </c>
      <c r="E18" t="s">
        <v>256</v>
      </c>
    </row>
    <row r="20" spans="1:5">
      <c r="A20" t="s">
        <v>257</v>
      </c>
      <c r="B20" t="s">
        <v>186</v>
      </c>
      <c r="C20" t="s">
        <v>187</v>
      </c>
      <c r="D20" t="s">
        <v>188</v>
      </c>
      <c r="E20" t="s">
        <v>160</v>
      </c>
    </row>
    <row r="21" spans="1:5">
      <c r="A21" t="s">
        <v>258</v>
      </c>
      <c r="B21" t="s">
        <v>259</v>
      </c>
      <c r="C21" t="s">
        <v>226</v>
      </c>
      <c r="D21" t="s">
        <v>260</v>
      </c>
      <c r="E21" t="s">
        <v>261</v>
      </c>
    </row>
    <row r="22" spans="1:5">
      <c r="A22" t="s">
        <v>262</v>
      </c>
      <c r="B22" t="s">
        <v>263</v>
      </c>
      <c r="C22" t="s">
        <v>264</v>
      </c>
      <c r="D22" t="s">
        <v>265</v>
      </c>
      <c r="E22" t="s">
        <v>266</v>
      </c>
    </row>
    <row r="23" spans="1:5">
      <c r="A23" t="s">
        <v>267</v>
      </c>
      <c r="B23" t="s">
        <v>268</v>
      </c>
      <c r="C23" t="s">
        <v>264</v>
      </c>
      <c r="D23" t="s">
        <v>269</v>
      </c>
      <c r="E23" t="s">
        <v>270</v>
      </c>
    </row>
    <row r="24" spans="1:5">
      <c r="A24" t="s">
        <v>271</v>
      </c>
      <c r="B24" t="s">
        <v>272</v>
      </c>
      <c r="C24" t="s">
        <v>264</v>
      </c>
      <c r="D24" t="s">
        <v>273</v>
      </c>
      <c r="E24" t="s">
        <v>274</v>
      </c>
    </row>
    <row r="25" spans="1:5">
      <c r="A25" t="s">
        <v>275</v>
      </c>
      <c r="B25" t="s">
        <v>276</v>
      </c>
      <c r="C25" t="s">
        <v>277</v>
      </c>
      <c r="D25" t="s">
        <v>278</v>
      </c>
      <c r="E25" t="s">
        <v>279</v>
      </c>
    </row>
    <row r="26" spans="1:5">
      <c r="A26" t="s">
        <v>280</v>
      </c>
      <c r="B26" t="s">
        <v>281</v>
      </c>
      <c r="C26" t="s">
        <v>226</v>
      </c>
      <c r="D26" t="s">
        <v>282</v>
      </c>
      <c r="E26" t="s">
        <v>283</v>
      </c>
    </row>
    <row r="27" spans="1:5">
      <c r="A27" t="s">
        <v>284</v>
      </c>
      <c r="B27" t="s">
        <v>285</v>
      </c>
      <c r="C27" t="s">
        <v>191</v>
      </c>
      <c r="D27" t="s">
        <v>286</v>
      </c>
      <c r="E27" t="s">
        <v>287</v>
      </c>
    </row>
    <row r="28" spans="1:5">
      <c r="A28" t="s">
        <v>288</v>
      </c>
      <c r="B28" t="s">
        <v>289</v>
      </c>
      <c r="C28" t="s">
        <v>226</v>
      </c>
      <c r="D28" t="s">
        <v>290</v>
      </c>
      <c r="E28" t="s">
        <v>291</v>
      </c>
    </row>
    <row r="29" spans="1:5">
      <c r="A29" t="s">
        <v>292</v>
      </c>
      <c r="B29" t="s">
        <v>293</v>
      </c>
      <c r="C29" t="s">
        <v>191</v>
      </c>
      <c r="D29" t="s">
        <v>294</v>
      </c>
      <c r="E29" t="s">
        <v>295</v>
      </c>
    </row>
    <row r="30" spans="1:5">
      <c r="A30" t="s">
        <v>296</v>
      </c>
      <c r="B30" t="s">
        <v>297</v>
      </c>
      <c r="C30" t="s">
        <v>226</v>
      </c>
      <c r="D30" t="s">
        <v>298</v>
      </c>
      <c r="E30" t="s">
        <v>299</v>
      </c>
    </row>
    <row r="31" spans="1:5">
      <c r="A31" t="s">
        <v>300</v>
      </c>
      <c r="B31" t="s">
        <v>301</v>
      </c>
      <c r="C31" t="s">
        <v>191</v>
      </c>
      <c r="E31" t="s">
        <v>302</v>
      </c>
    </row>
    <row r="32" s="75" customFormat="1" spans="1:5">
      <c r="A32" s="75" t="s">
        <v>303</v>
      </c>
      <c r="B32" s="75" t="s">
        <v>304</v>
      </c>
      <c r="C32" s="75" t="s">
        <v>190</v>
      </c>
      <c r="D32" s="75" t="s">
        <v>305</v>
      </c>
      <c r="E32" s="75" t="s">
        <v>306</v>
      </c>
    </row>
    <row r="35" spans="1:5">
      <c r="A35" t="s">
        <v>307</v>
      </c>
      <c r="B35" t="s">
        <v>186</v>
      </c>
      <c r="C35" t="s">
        <v>187</v>
      </c>
      <c r="D35" t="s">
        <v>188</v>
      </c>
      <c r="E35" t="s">
        <v>160</v>
      </c>
    </row>
    <row r="36" spans="1:5">
      <c r="A36" t="s">
        <v>308</v>
      </c>
      <c r="B36" t="s">
        <v>309</v>
      </c>
      <c r="C36" t="s">
        <v>310</v>
      </c>
      <c r="E36" t="s">
        <v>311</v>
      </c>
    </row>
    <row r="37" spans="1:5">
      <c r="A37" t="s">
        <v>312</v>
      </c>
      <c r="B37" t="s">
        <v>313</v>
      </c>
      <c r="C37" t="s">
        <v>314</v>
      </c>
      <c r="E37" t="s">
        <v>315</v>
      </c>
    </row>
    <row r="38" spans="1:5">
      <c r="A38" t="s">
        <v>316</v>
      </c>
      <c r="B38" t="s">
        <v>317</v>
      </c>
      <c r="C38" t="s">
        <v>314</v>
      </c>
      <c r="E38" t="s">
        <v>318</v>
      </c>
    </row>
    <row r="39" spans="1:5">
      <c r="A39" t="s">
        <v>319</v>
      </c>
      <c r="B39" t="s">
        <v>320</v>
      </c>
      <c r="C39" t="s">
        <v>314</v>
      </c>
      <c r="E39" t="s">
        <v>321</v>
      </c>
    </row>
    <row r="40" spans="1:5">
      <c r="A40" t="s">
        <v>322</v>
      </c>
      <c r="B40" t="s">
        <v>323</v>
      </c>
      <c r="C40" t="s">
        <v>314</v>
      </c>
      <c r="D40" t="s">
        <v>324</v>
      </c>
      <c r="E40" t="s">
        <v>325</v>
      </c>
    </row>
    <row r="41" spans="1:5">
      <c r="A41" t="s">
        <v>326</v>
      </c>
      <c r="B41" t="s">
        <v>327</v>
      </c>
      <c r="C41" t="s">
        <v>314</v>
      </c>
      <c r="D41" t="s">
        <v>328</v>
      </c>
      <c r="E41" t="s">
        <v>329</v>
      </c>
    </row>
    <row r="42" spans="1:5">
      <c r="A42" t="s">
        <v>330</v>
      </c>
      <c r="B42" t="s">
        <v>331</v>
      </c>
      <c r="C42" t="s">
        <v>314</v>
      </c>
      <c r="D42" t="s">
        <v>332</v>
      </c>
      <c r="E42" t="s">
        <v>333</v>
      </c>
    </row>
    <row r="43" spans="1:5">
      <c r="A43" t="s">
        <v>334</v>
      </c>
      <c r="B43" t="s">
        <v>335</v>
      </c>
      <c r="C43" t="s">
        <v>314</v>
      </c>
      <c r="D43" t="s">
        <v>336</v>
      </c>
      <c r="E43" t="s">
        <v>337</v>
      </c>
    </row>
    <row r="44" spans="1:5">
      <c r="A44" t="s">
        <v>338</v>
      </c>
      <c r="B44" t="s">
        <v>339</v>
      </c>
      <c r="C44" t="s">
        <v>314</v>
      </c>
      <c r="D44" t="s">
        <v>340</v>
      </c>
      <c r="E44" t="s">
        <v>341</v>
      </c>
    </row>
    <row r="45" spans="1:5">
      <c r="A45" t="s">
        <v>342</v>
      </c>
      <c r="B45" t="s">
        <v>343</v>
      </c>
      <c r="C45" t="s">
        <v>314</v>
      </c>
      <c r="D45" t="s">
        <v>344</v>
      </c>
      <c r="E45" t="s">
        <v>345</v>
      </c>
    </row>
    <row r="46" spans="1:5">
      <c r="A46" t="s">
        <v>346</v>
      </c>
      <c r="B46" t="s">
        <v>347</v>
      </c>
      <c r="C46" t="s">
        <v>314</v>
      </c>
      <c r="D46" t="s">
        <v>348</v>
      </c>
      <c r="E46" t="s">
        <v>349</v>
      </c>
    </row>
    <row r="47" spans="1:5">
      <c r="A47" t="s">
        <v>350</v>
      </c>
      <c r="B47" t="s">
        <v>351</v>
      </c>
      <c r="C47" t="s">
        <v>314</v>
      </c>
      <c r="D47" t="s">
        <v>352</v>
      </c>
      <c r="E47" t="s">
        <v>353</v>
      </c>
    </row>
    <row r="48" spans="1:5">
      <c r="A48" t="s">
        <v>354</v>
      </c>
      <c r="B48" t="s">
        <v>355</v>
      </c>
      <c r="C48" t="s">
        <v>226</v>
      </c>
      <c r="E48" t="s">
        <v>356</v>
      </c>
    </row>
    <row r="49" spans="1:5">
      <c r="A49" t="s">
        <v>357</v>
      </c>
      <c r="B49" t="s">
        <v>358</v>
      </c>
      <c r="C49" t="s">
        <v>226</v>
      </c>
      <c r="E49" t="s">
        <v>359</v>
      </c>
    </row>
    <row r="50" spans="1:5">
      <c r="A50" t="s">
        <v>360</v>
      </c>
      <c r="B50" t="s">
        <v>361</v>
      </c>
      <c r="C50" t="s">
        <v>226</v>
      </c>
      <c r="E50" t="s">
        <v>362</v>
      </c>
    </row>
    <row r="51" spans="1:5">
      <c r="A51" t="s">
        <v>363</v>
      </c>
      <c r="B51" t="s">
        <v>364</v>
      </c>
      <c r="C51" t="s">
        <v>226</v>
      </c>
      <c r="E51" t="s">
        <v>365</v>
      </c>
    </row>
    <row r="52" spans="1:5">
      <c r="A52" t="s">
        <v>366</v>
      </c>
      <c r="B52" t="s">
        <v>367</v>
      </c>
      <c r="C52" t="s">
        <v>226</v>
      </c>
      <c r="E52" t="s">
        <v>368</v>
      </c>
    </row>
    <row r="53" spans="1:5">
      <c r="A53" t="s">
        <v>369</v>
      </c>
      <c r="B53" t="s">
        <v>370</v>
      </c>
      <c r="C53" t="s">
        <v>226</v>
      </c>
      <c r="D53" t="s">
        <v>371</v>
      </c>
      <c r="E53" t="s">
        <v>372</v>
      </c>
    </row>
    <row r="54" spans="1:5">
      <c r="A54" t="s">
        <v>373</v>
      </c>
      <c r="B54" t="s">
        <v>374</v>
      </c>
      <c r="C54" t="s">
        <v>375</v>
      </c>
      <c r="E54" t="s">
        <v>376</v>
      </c>
    </row>
    <row r="55" spans="1:5">
      <c r="A55" t="s">
        <v>377</v>
      </c>
      <c r="B55" t="s">
        <v>378</v>
      </c>
      <c r="C55" t="s">
        <v>226</v>
      </c>
      <c r="E55" t="s">
        <v>379</v>
      </c>
    </row>
    <row r="56" spans="1:5">
      <c r="A56" t="s">
        <v>221</v>
      </c>
      <c r="B56" t="s">
        <v>222</v>
      </c>
      <c r="C56" t="s">
        <v>191</v>
      </c>
      <c r="D56" t="s">
        <v>380</v>
      </c>
      <c r="E56" t="s">
        <v>381</v>
      </c>
    </row>
    <row r="57" spans="1:5">
      <c r="A57" t="s">
        <v>382</v>
      </c>
      <c r="B57" t="s">
        <v>383</v>
      </c>
      <c r="C57" t="s">
        <v>384</v>
      </c>
      <c r="D57" t="s">
        <v>385</v>
      </c>
      <c r="E57" t="s">
        <v>386</v>
      </c>
    </row>
    <row r="58" spans="1:5">
      <c r="A58" t="s">
        <v>387</v>
      </c>
      <c r="B58" t="s">
        <v>388</v>
      </c>
      <c r="C58" t="s">
        <v>384</v>
      </c>
      <c r="D58" t="s">
        <v>389</v>
      </c>
      <c r="E58" t="s">
        <v>390</v>
      </c>
    </row>
    <row r="59" spans="1:5">
      <c r="A59" t="s">
        <v>391</v>
      </c>
      <c r="B59" t="s">
        <v>392</v>
      </c>
      <c r="C59" t="s">
        <v>393</v>
      </c>
      <c r="D59" t="s">
        <v>394</v>
      </c>
      <c r="E59" t="s">
        <v>395</v>
      </c>
    </row>
    <row r="61" spans="1:5">
      <c r="A61" s="76" t="s">
        <v>396</v>
      </c>
      <c r="B61" s="76"/>
      <c r="C61" s="76"/>
      <c r="D61" s="76"/>
      <c r="E61" t="s">
        <v>160</v>
      </c>
    </row>
    <row r="62" spans="1:5">
      <c r="A62" s="77" t="s">
        <v>397</v>
      </c>
      <c r="C62" s="76"/>
      <c r="D62" s="76"/>
      <c r="E62" s="77" t="s">
        <v>398</v>
      </c>
    </row>
    <row r="63" spans="1:5">
      <c r="A63" s="77" t="s">
        <v>399</v>
      </c>
      <c r="C63" s="76"/>
      <c r="D63" s="76"/>
      <c r="E63" s="77" t="s">
        <v>400</v>
      </c>
    </row>
    <row r="64" spans="1:5">
      <c r="A64" s="77" t="s">
        <v>401</v>
      </c>
      <c r="C64" s="78"/>
      <c r="E64" s="77" t="s">
        <v>402</v>
      </c>
    </row>
    <row r="65" spans="1:5">
      <c r="A65" s="77" t="s">
        <v>403</v>
      </c>
      <c r="C65" s="78"/>
      <c r="E65" s="77" t="s">
        <v>404</v>
      </c>
    </row>
    <row r="66" spans="1:5">
      <c r="A66" s="77" t="s">
        <v>405</v>
      </c>
      <c r="C66" s="78"/>
      <c r="E66" s="77" t="s">
        <v>406</v>
      </c>
    </row>
    <row r="67" spans="1:5">
      <c r="A67" s="77" t="s">
        <v>407</v>
      </c>
      <c r="C67" s="78"/>
      <c r="E67" s="77" t="s">
        <v>408</v>
      </c>
    </row>
    <row r="68" spans="1:5">
      <c r="A68" s="77" t="s">
        <v>409</v>
      </c>
      <c r="C68" s="78"/>
      <c r="E68" s="77" t="s">
        <v>410</v>
      </c>
    </row>
    <row r="69" spans="1:5">
      <c r="A69" s="77" t="s">
        <v>411</v>
      </c>
      <c r="C69" s="78"/>
      <c r="E69" s="77" t="s">
        <v>412</v>
      </c>
    </row>
    <row r="70" spans="1:5">
      <c r="A70" s="77" t="s">
        <v>413</v>
      </c>
      <c r="C70" s="78"/>
      <c r="E70" s="77" t="s">
        <v>414</v>
      </c>
    </row>
    <row r="71" spans="1:5">
      <c r="A71" s="77" t="s">
        <v>415</v>
      </c>
      <c r="C71" s="78"/>
      <c r="E71" s="77" t="s">
        <v>416</v>
      </c>
    </row>
    <row r="72" spans="1:5">
      <c r="A72" s="77" t="s">
        <v>417</v>
      </c>
      <c r="C72" s="78"/>
      <c r="E72" s="77" t="s">
        <v>418</v>
      </c>
    </row>
    <row r="73" spans="1:5">
      <c r="A73" s="77" t="s">
        <v>419</v>
      </c>
      <c r="C73" s="78"/>
      <c r="E73" s="77" t="s">
        <v>420</v>
      </c>
    </row>
    <row r="74" spans="1:5">
      <c r="A74" s="77" t="s">
        <v>421</v>
      </c>
      <c r="C74" s="78"/>
      <c r="E74" s="77" t="s">
        <v>422</v>
      </c>
    </row>
    <row r="75" spans="1:5">
      <c r="A75" s="77" t="s">
        <v>423</v>
      </c>
      <c r="C75" s="78"/>
      <c r="E75" s="77" t="s">
        <v>424</v>
      </c>
    </row>
    <row r="76" spans="1:5">
      <c r="A76" s="77" t="s">
        <v>425</v>
      </c>
      <c r="C76" s="78"/>
      <c r="E76" s="77" t="s">
        <v>426</v>
      </c>
    </row>
    <row r="77" spans="1:5">
      <c r="A77" s="77" t="s">
        <v>427</v>
      </c>
      <c r="C77" s="78"/>
      <c r="E77" s="77" t="s">
        <v>428</v>
      </c>
    </row>
    <row r="78" spans="1:5">
      <c r="A78" s="77" t="s">
        <v>429</v>
      </c>
      <c r="C78" s="78"/>
      <c r="E78" s="77" t="s">
        <v>430</v>
      </c>
    </row>
    <row r="79" spans="1:5">
      <c r="A79" s="77" t="s">
        <v>431</v>
      </c>
      <c r="C79" s="78"/>
      <c r="E79" s="77" t="s">
        <v>432</v>
      </c>
    </row>
    <row r="80" spans="1:5">
      <c r="A80" s="77" t="s">
        <v>433</v>
      </c>
      <c r="C80" s="78"/>
      <c r="E80" s="77" t="s">
        <v>434</v>
      </c>
    </row>
    <row r="81" spans="1:5">
      <c r="A81" s="77" t="s">
        <v>435</v>
      </c>
      <c r="C81" s="78"/>
      <c r="E81" s="77" t="s">
        <v>436</v>
      </c>
    </row>
    <row r="82" spans="1:5">
      <c r="A82" s="79" t="s">
        <v>437</v>
      </c>
      <c r="B82" s="79"/>
      <c r="C82" s="79"/>
      <c r="D82" s="79"/>
      <c r="E82" s="79" t="s">
        <v>438</v>
      </c>
    </row>
    <row r="84" ht="30" spans="1:5">
      <c r="A84" s="80" t="s">
        <v>185</v>
      </c>
      <c r="B84" s="80" t="s">
        <v>186</v>
      </c>
      <c r="C84" s="80" t="s">
        <v>187</v>
      </c>
      <c r="D84" s="80" t="s">
        <v>188</v>
      </c>
      <c r="E84" s="80" t="s">
        <v>160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workbookViewId="0">
      <selection activeCell="L11" sqref="L11"/>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27" customFormat="1" spans="1:17">
      <c r="A1" s="27" t="s">
        <v>439</v>
      </c>
      <c r="B1" s="28" t="s">
        <v>440</v>
      </c>
      <c r="C1" s="28" t="s">
        <v>441</v>
      </c>
      <c r="D1" s="28" t="s">
        <v>442</v>
      </c>
      <c r="E1" s="28" t="s">
        <v>443</v>
      </c>
      <c r="F1" s="27" t="s">
        <v>444</v>
      </c>
      <c r="G1" s="27" t="s">
        <v>445</v>
      </c>
      <c r="H1" s="27" t="s">
        <v>446</v>
      </c>
      <c r="J1" t="s">
        <v>447</v>
      </c>
      <c r="K1" s="3" t="s">
        <v>85</v>
      </c>
      <c r="L1" s="3" t="s">
        <v>448</v>
      </c>
      <c r="M1" s="3" t="s">
        <v>449</v>
      </c>
      <c r="N1" s="3" t="s">
        <v>28</v>
      </c>
      <c r="O1" s="3" t="s">
        <v>308</v>
      </c>
      <c r="P1" t="s">
        <v>188</v>
      </c>
      <c r="Q1" t="s">
        <v>450</v>
      </c>
    </row>
    <row r="2" spans="1:17">
      <c r="A2" t="s">
        <v>190</v>
      </c>
      <c r="B2" s="3">
        <v>40000</v>
      </c>
      <c r="C2" s="3">
        <v>20000</v>
      </c>
      <c r="D2" s="3">
        <f>C2*G2</f>
        <v>20000</v>
      </c>
      <c r="E2" s="36">
        <f t="shared" ref="E2:E17" si="0">B2-C2</f>
        <v>20000</v>
      </c>
      <c r="F2" s="3">
        <f>E2*G2</f>
        <v>20000</v>
      </c>
      <c r="G2">
        <v>1</v>
      </c>
      <c r="H2" s="36">
        <f>G2*B2</f>
        <v>40000</v>
      </c>
      <c r="J2" t="s">
        <v>451</v>
      </c>
      <c r="K2" s="3">
        <v>100</v>
      </c>
      <c r="L2" s="3" t="s">
        <v>301</v>
      </c>
      <c r="M2" s="3">
        <v>4</v>
      </c>
      <c r="N2" s="3" t="s">
        <v>452</v>
      </c>
      <c r="O2" s="3" t="s">
        <v>453</v>
      </c>
      <c r="P2" t="s">
        <v>454</v>
      </c>
      <c r="Q2">
        <f>1000*10*0.48</f>
        <v>4800</v>
      </c>
    </row>
    <row r="3" spans="1:17">
      <c r="A3" t="s">
        <v>195</v>
      </c>
      <c r="B3" s="3">
        <v>40000</v>
      </c>
      <c r="C3" s="3">
        <v>20000</v>
      </c>
      <c r="D3" s="3">
        <f>C3*G3</f>
        <v>20000</v>
      </c>
      <c r="E3" s="36">
        <f t="shared" si="0"/>
        <v>20000</v>
      </c>
      <c r="F3" s="3">
        <f>E3*G3</f>
        <v>20000</v>
      </c>
      <c r="G3">
        <v>1</v>
      </c>
      <c r="H3" s="36">
        <f>G3*B3</f>
        <v>40000</v>
      </c>
      <c r="O3" t="s">
        <v>455</v>
      </c>
      <c r="P3" t="s">
        <v>456</v>
      </c>
      <c r="Q3">
        <v>1</v>
      </c>
    </row>
    <row r="4" spans="1:8">
      <c r="A4" t="s">
        <v>198</v>
      </c>
      <c r="B4" s="3">
        <v>2000</v>
      </c>
      <c r="C4" s="3">
        <v>1000</v>
      </c>
      <c r="D4" s="3">
        <f>C4*G4</f>
        <v>8400</v>
      </c>
      <c r="E4" s="36">
        <f t="shared" si="0"/>
        <v>1000</v>
      </c>
      <c r="F4" s="3">
        <f>E4*G4</f>
        <v>8400</v>
      </c>
      <c r="G4">
        <v>8.4</v>
      </c>
      <c r="H4" s="36">
        <f>G4*B4</f>
        <v>16800</v>
      </c>
    </row>
    <row r="5" spans="1:8">
      <c r="A5" t="s">
        <v>202</v>
      </c>
      <c r="B5" s="3">
        <v>1000</v>
      </c>
      <c r="C5" s="3">
        <v>500</v>
      </c>
      <c r="D5" s="3">
        <f>C5*G5</f>
        <v>2800</v>
      </c>
      <c r="E5" s="36">
        <f t="shared" si="0"/>
        <v>500</v>
      </c>
      <c r="F5" s="3">
        <f>E5*G5</f>
        <v>2800</v>
      </c>
      <c r="G5">
        <v>5.6</v>
      </c>
      <c r="H5" s="36">
        <f>G5*B5</f>
        <v>5600</v>
      </c>
    </row>
    <row r="6" spans="1:8">
      <c r="A6" t="s">
        <v>210</v>
      </c>
      <c r="B6" s="3">
        <v>1000</v>
      </c>
      <c r="C6" s="3">
        <v>500</v>
      </c>
      <c r="D6" s="3">
        <f>C6*G6</f>
        <v>5800</v>
      </c>
      <c r="E6" s="36">
        <f t="shared" si="0"/>
        <v>500</v>
      </c>
      <c r="F6" s="3">
        <f>E6*G6</f>
        <v>5800</v>
      </c>
      <c r="G6">
        <v>11.6</v>
      </c>
      <c r="H6" s="36">
        <f>G6*B6</f>
        <v>11600</v>
      </c>
    </row>
    <row r="7" spans="1:8">
      <c r="A7" t="s">
        <v>233</v>
      </c>
      <c r="B7" s="4">
        <v>1.2</v>
      </c>
      <c r="C7" s="4">
        <v>1</v>
      </c>
      <c r="D7" s="3">
        <f>C7*G7*100</f>
        <v>14000</v>
      </c>
      <c r="E7" s="4">
        <f t="shared" si="0"/>
        <v>0.2</v>
      </c>
      <c r="F7" s="3">
        <f>E7*G7*100</f>
        <v>2800</v>
      </c>
      <c r="G7">
        <v>140</v>
      </c>
      <c r="H7" s="36">
        <f>G7*B7*100</f>
        <v>16800</v>
      </c>
    </row>
    <row r="8" spans="1:8">
      <c r="A8" t="s">
        <v>457</v>
      </c>
      <c r="B8" s="4">
        <v>0.2</v>
      </c>
      <c r="C8" s="4">
        <v>0</v>
      </c>
      <c r="D8" s="3">
        <f>C8*G8*100</f>
        <v>0</v>
      </c>
      <c r="E8" s="4">
        <f t="shared" si="0"/>
        <v>0.2</v>
      </c>
      <c r="F8" s="3">
        <f>E8*G8*100</f>
        <v>2800</v>
      </c>
      <c r="G8">
        <v>140</v>
      </c>
      <c r="H8" s="36">
        <f>G8*B8*100</f>
        <v>2800</v>
      </c>
    </row>
    <row r="9" spans="1:8">
      <c r="A9" t="s">
        <v>224</v>
      </c>
      <c r="B9" s="4">
        <v>0.2</v>
      </c>
      <c r="C9" s="4">
        <v>0</v>
      </c>
      <c r="D9" s="3">
        <f>C9*G9*100</f>
        <v>0</v>
      </c>
      <c r="E9" s="4">
        <f t="shared" si="0"/>
        <v>0.2</v>
      </c>
      <c r="F9" s="3">
        <f>E9*G9*100</f>
        <v>2800</v>
      </c>
      <c r="G9">
        <v>140</v>
      </c>
      <c r="H9" s="36">
        <f>G9*B9*100</f>
        <v>2800</v>
      </c>
    </row>
    <row r="10" spans="1:8">
      <c r="A10" t="s">
        <v>229</v>
      </c>
      <c r="B10" s="4">
        <v>1</v>
      </c>
      <c r="C10" s="4">
        <v>0.5</v>
      </c>
      <c r="D10" s="3">
        <f>C10*G10*100</f>
        <v>1400</v>
      </c>
      <c r="E10" s="4">
        <f t="shared" si="0"/>
        <v>0.5</v>
      </c>
      <c r="F10" s="3">
        <f>E10*G10*100</f>
        <v>1400</v>
      </c>
      <c r="G10">
        <v>28</v>
      </c>
      <c r="H10" s="36">
        <f>G10*B10*100</f>
        <v>2800</v>
      </c>
    </row>
    <row r="11" spans="1:12">
      <c r="A11" t="s">
        <v>217</v>
      </c>
      <c r="B11" s="3">
        <v>100</v>
      </c>
      <c r="C11" s="3">
        <v>100</v>
      </c>
      <c r="D11" s="3">
        <f>C11*G11</f>
        <v>40000</v>
      </c>
      <c r="E11" s="36">
        <f t="shared" si="0"/>
        <v>0</v>
      </c>
      <c r="F11" s="3">
        <f t="shared" ref="F11:F17" si="1">E11*G11</f>
        <v>0</v>
      </c>
      <c r="G11">
        <v>400</v>
      </c>
      <c r="H11" s="36">
        <f>G11*B11</f>
        <v>40000</v>
      </c>
      <c r="L11" s="32"/>
    </row>
    <row r="12" spans="1:8">
      <c r="A12" t="s">
        <v>458</v>
      </c>
      <c r="B12" s="3">
        <v>4</v>
      </c>
      <c r="C12" s="3">
        <v>4</v>
      </c>
      <c r="D12" s="3">
        <f>C12*G12</f>
        <v>4500</v>
      </c>
      <c r="E12" s="36">
        <f t="shared" si="0"/>
        <v>0</v>
      </c>
      <c r="F12" s="3">
        <f t="shared" si="1"/>
        <v>0</v>
      </c>
      <c r="G12">
        <v>1125</v>
      </c>
      <c r="H12" s="36">
        <f>G12*B12</f>
        <v>4500</v>
      </c>
    </row>
    <row r="13" spans="1:8">
      <c r="A13" t="s">
        <v>459</v>
      </c>
      <c r="B13" s="3">
        <v>1</v>
      </c>
      <c r="C13" s="3">
        <v>0</v>
      </c>
      <c r="D13" s="3">
        <f>C13*G13</f>
        <v>0</v>
      </c>
      <c r="E13" s="36">
        <f t="shared" si="0"/>
        <v>1</v>
      </c>
      <c r="F13" s="3">
        <f t="shared" si="1"/>
        <v>4800</v>
      </c>
      <c r="G13">
        <v>4800</v>
      </c>
      <c r="H13" s="36">
        <f>G13*B13</f>
        <v>4800</v>
      </c>
    </row>
    <row r="14" spans="1:8">
      <c r="A14" t="s">
        <v>460</v>
      </c>
      <c r="B14" s="3">
        <v>10</v>
      </c>
      <c r="C14" s="3">
        <v>10</v>
      </c>
      <c r="D14" s="3">
        <f>C14*G14</f>
        <v>23260</v>
      </c>
      <c r="E14" s="36">
        <f t="shared" si="0"/>
        <v>0</v>
      </c>
      <c r="F14" s="3">
        <f t="shared" si="1"/>
        <v>0</v>
      </c>
      <c r="G14">
        <v>2326</v>
      </c>
      <c r="H14" s="36">
        <f>G14*B14</f>
        <v>23260</v>
      </c>
    </row>
    <row r="15" spans="1:8">
      <c r="A15" t="s">
        <v>237</v>
      </c>
      <c r="B15" s="4">
        <v>1</v>
      </c>
      <c r="C15" s="4">
        <v>1</v>
      </c>
      <c r="D15" s="3">
        <f>C15*G15*100</f>
        <v>16800</v>
      </c>
      <c r="E15" s="36">
        <f t="shared" si="0"/>
        <v>0</v>
      </c>
      <c r="F15" s="3">
        <f t="shared" si="1"/>
        <v>0</v>
      </c>
      <c r="G15">
        <v>168</v>
      </c>
      <c r="H15" s="36">
        <f>G15*B15*100</f>
        <v>16800</v>
      </c>
    </row>
    <row r="16" spans="1:8">
      <c r="A16" t="s">
        <v>241</v>
      </c>
      <c r="B16" s="4">
        <v>0</v>
      </c>
      <c r="C16" s="4">
        <v>0</v>
      </c>
      <c r="D16" s="3">
        <f>C16*G16*100</f>
        <v>0</v>
      </c>
      <c r="E16" s="36">
        <f t="shared" si="0"/>
        <v>0</v>
      </c>
      <c r="F16" s="3">
        <f t="shared" si="1"/>
        <v>0</v>
      </c>
      <c r="G16">
        <v>168</v>
      </c>
      <c r="H16" s="36">
        <f>G16*B16</f>
        <v>0</v>
      </c>
    </row>
    <row r="17" spans="1:8">
      <c r="A17" t="s">
        <v>245</v>
      </c>
      <c r="B17" s="4">
        <v>0</v>
      </c>
      <c r="C17" s="4"/>
      <c r="D17" s="3">
        <f>C17*G17*100</f>
        <v>0</v>
      </c>
      <c r="E17" s="36">
        <f t="shared" si="0"/>
        <v>0</v>
      </c>
      <c r="F17" s="3">
        <f t="shared" si="1"/>
        <v>0</v>
      </c>
      <c r="G17">
        <v>233</v>
      </c>
      <c r="H17" s="36">
        <f>G17*B17</f>
        <v>0</v>
      </c>
    </row>
    <row r="18" s="2" customFormat="1" spans="1:8">
      <c r="A18" s="2" t="s">
        <v>461</v>
      </c>
      <c r="D18" s="35">
        <f>SUM(D2:D17)</f>
        <v>156960</v>
      </c>
      <c r="F18" s="35">
        <f>SUM(F2:F17)</f>
        <v>71600</v>
      </c>
      <c r="H18" s="35">
        <f>SUM(H2:H17)</f>
        <v>228560</v>
      </c>
    </row>
    <row r="19" spans="1:6">
      <c r="A19" t="s">
        <v>462</v>
      </c>
      <c r="F19" s="36">
        <f>F18/4</f>
        <v>17900</v>
      </c>
    </row>
    <row r="21" spans="1:1">
      <c r="A21" t="s">
        <v>463</v>
      </c>
    </row>
    <row r="22" spans="12:12">
      <c r="L22" s="32"/>
    </row>
    <row r="24" customFormat="1" ht="23.25" customHeight="1" spans="1:1">
      <c r="A24" s="72" t="s">
        <v>464</v>
      </c>
    </row>
    <row r="26" customFormat="1" ht="18.75" customHeight="1" spans="1:1">
      <c r="A26" s="73" t="s">
        <v>465</v>
      </c>
    </row>
    <row r="28" spans="1:1">
      <c r="A28" s="27" t="s">
        <v>466</v>
      </c>
    </row>
    <row r="29" spans="1:1">
      <c r="A29" s="74" t="s">
        <v>467</v>
      </c>
    </row>
    <row r="30" spans="1:1">
      <c r="A30" s="74" t="s">
        <v>468</v>
      </c>
    </row>
    <row r="31" spans="1:1">
      <c r="A31" s="74" t="s">
        <v>469</v>
      </c>
    </row>
    <row r="32" spans="1:1">
      <c r="A32" s="74" t="s">
        <v>470</v>
      </c>
    </row>
    <row r="33" spans="1:1">
      <c r="A33" s="74" t="s">
        <v>471</v>
      </c>
    </row>
    <row r="34" spans="1:1">
      <c r="A34" s="74" t="s">
        <v>472</v>
      </c>
    </row>
    <row r="35" spans="1:1">
      <c r="A35" s="74" t="s">
        <v>473</v>
      </c>
    </row>
    <row r="36" spans="1:1">
      <c r="A36" s="74" t="s">
        <v>474</v>
      </c>
    </row>
    <row r="37" spans="1:1">
      <c r="A37" s="74" t="s">
        <v>475</v>
      </c>
    </row>
    <row r="38" spans="1:1">
      <c r="A38" s="74" t="s">
        <v>476</v>
      </c>
    </row>
    <row r="40" customFormat="1" ht="18.75" customHeight="1" spans="1:1">
      <c r="A40" s="73" t="s">
        <v>477</v>
      </c>
    </row>
    <row r="41" spans="1:1">
      <c r="A41" s="2" t="s">
        <v>478</v>
      </c>
    </row>
    <row r="42" spans="1:1">
      <c r="A42" t="s">
        <v>479</v>
      </c>
    </row>
    <row r="44" spans="1:1">
      <c r="A44" s="2" t="s">
        <v>480</v>
      </c>
    </row>
    <row r="45" spans="1:1">
      <c r="A45" t="s">
        <v>481</v>
      </c>
    </row>
    <row r="47" spans="1:1">
      <c r="A47" s="2" t="s">
        <v>482</v>
      </c>
    </row>
    <row r="48" spans="1:1">
      <c r="A48" t="s">
        <v>483</v>
      </c>
    </row>
    <row r="50" spans="1:1">
      <c r="A50" s="2" t="s">
        <v>484</v>
      </c>
    </row>
    <row r="51" spans="1:1">
      <c r="A51" t="s">
        <v>485</v>
      </c>
    </row>
    <row r="53" spans="1:1">
      <c r="A53" s="2" t="s">
        <v>486</v>
      </c>
    </row>
    <row r="54" spans="1:1">
      <c r="A54" t="s">
        <v>487</v>
      </c>
    </row>
    <row r="56" spans="1:1">
      <c r="A56" s="2" t="s">
        <v>488</v>
      </c>
    </row>
    <row r="57" spans="1:1">
      <c r="A57" t="s">
        <v>489</v>
      </c>
    </row>
    <row r="59" spans="1:1">
      <c r="A59" t="s">
        <v>490</v>
      </c>
    </row>
    <row r="61" customFormat="1" ht="18.75" customHeight="1" spans="1:1">
      <c r="A61" s="73" t="s">
        <v>491</v>
      </c>
    </row>
    <row r="63" spans="1:1">
      <c r="A63" s="2" t="s">
        <v>492</v>
      </c>
    </row>
    <row r="64" spans="1:1">
      <c r="A64" t="s">
        <v>493</v>
      </c>
    </row>
    <row r="65" spans="1:1">
      <c r="A65" t="s">
        <v>494</v>
      </c>
    </row>
    <row r="67" spans="1:1">
      <c r="A67" s="2" t="s">
        <v>495</v>
      </c>
    </row>
    <row r="68" spans="1:1">
      <c r="A68" t="s">
        <v>496</v>
      </c>
    </row>
    <row r="69" spans="1:1">
      <c r="A69" t="s">
        <v>497</v>
      </c>
    </row>
    <row r="70" spans="1:1">
      <c r="A70" t="s">
        <v>498</v>
      </c>
    </row>
    <row r="71" spans="1:1">
      <c r="A71" t="s">
        <v>499</v>
      </c>
    </row>
    <row r="74" spans="1:1">
      <c r="A74" t="s">
        <v>500</v>
      </c>
    </row>
    <row r="75" spans="1:3">
      <c r="A75" s="1" t="s">
        <v>308</v>
      </c>
      <c r="B75" s="1" t="s">
        <v>501</v>
      </c>
      <c r="C75" s="1" t="s">
        <v>502</v>
      </c>
    </row>
    <row r="76" spans="1:3">
      <c r="A76" s="2" t="s">
        <v>190</v>
      </c>
      <c r="B76" t="s">
        <v>503</v>
      </c>
      <c r="C76" s="2" t="s">
        <v>504</v>
      </c>
    </row>
    <row r="77" spans="1:3">
      <c r="A77" s="2" t="s">
        <v>195</v>
      </c>
      <c r="B77" t="s">
        <v>505</v>
      </c>
      <c r="C77" s="2" t="s">
        <v>504</v>
      </c>
    </row>
    <row r="78" spans="1:3">
      <c r="A78" s="2" t="s">
        <v>198</v>
      </c>
      <c r="B78" t="s">
        <v>506</v>
      </c>
      <c r="C78" s="2" t="s">
        <v>507</v>
      </c>
    </row>
    <row r="79" spans="1:3">
      <c r="A79" s="2" t="s">
        <v>202</v>
      </c>
      <c r="B79" t="s">
        <v>508</v>
      </c>
      <c r="C79" s="2" t="s">
        <v>509</v>
      </c>
    </row>
    <row r="80" spans="1:3">
      <c r="A80" s="2" t="s">
        <v>210</v>
      </c>
      <c r="B80" t="s">
        <v>510</v>
      </c>
      <c r="C80" s="2" t="s">
        <v>511</v>
      </c>
    </row>
    <row r="81" spans="1:3">
      <c r="A81" s="2" t="s">
        <v>233</v>
      </c>
      <c r="B81" t="s">
        <v>512</v>
      </c>
      <c r="C81" s="2" t="s">
        <v>513</v>
      </c>
    </row>
    <row r="82" spans="1:3">
      <c r="A82" s="2" t="s">
        <v>253</v>
      </c>
      <c r="B82" t="s">
        <v>514</v>
      </c>
      <c r="C82" s="2" t="s">
        <v>513</v>
      </c>
    </row>
    <row r="83" spans="1:3">
      <c r="A83" s="2" t="s">
        <v>224</v>
      </c>
      <c r="B83" t="s">
        <v>515</v>
      </c>
      <c r="C83" s="2" t="s">
        <v>513</v>
      </c>
    </row>
    <row r="84" spans="1:3">
      <c r="A84" s="2" t="s">
        <v>229</v>
      </c>
      <c r="B84" t="s">
        <v>516</v>
      </c>
      <c r="C84" s="2" t="s">
        <v>517</v>
      </c>
    </row>
    <row r="85" spans="1:3">
      <c r="A85" s="2" t="s">
        <v>217</v>
      </c>
      <c r="B85" t="s">
        <v>518</v>
      </c>
      <c r="C85" s="2" t="s">
        <v>519</v>
      </c>
    </row>
    <row r="86" spans="1:3">
      <c r="A86" s="2" t="s">
        <v>391</v>
      </c>
      <c r="B86" t="s">
        <v>520</v>
      </c>
      <c r="C86" s="2" t="s">
        <v>521</v>
      </c>
    </row>
    <row r="87" spans="1:3">
      <c r="A87" s="2" t="s">
        <v>522</v>
      </c>
      <c r="B87" t="s">
        <v>523</v>
      </c>
      <c r="C87" s="2" t="s">
        <v>524</v>
      </c>
    </row>
    <row r="88" spans="1:3">
      <c r="A88" s="2" t="s">
        <v>460</v>
      </c>
      <c r="B88" t="s">
        <v>525</v>
      </c>
      <c r="C88" s="2" t="s">
        <v>526</v>
      </c>
    </row>
    <row r="89" spans="1:3">
      <c r="A89" s="2" t="s">
        <v>237</v>
      </c>
      <c r="B89" t="s">
        <v>527</v>
      </c>
      <c r="C89" s="2" t="s">
        <v>528</v>
      </c>
    </row>
    <row r="90" spans="1:3">
      <c r="A90" s="2" t="s">
        <v>241</v>
      </c>
      <c r="B90" t="s">
        <v>529</v>
      </c>
      <c r="C90" s="2" t="s">
        <v>528</v>
      </c>
    </row>
    <row r="91" spans="1:3">
      <c r="A91" s="2" t="s">
        <v>245</v>
      </c>
      <c r="B91" t="s">
        <v>530</v>
      </c>
      <c r="C91" s="2" t="s">
        <v>531</v>
      </c>
    </row>
    <row r="93" customFormat="1" ht="18.75" customHeight="1" spans="1:1">
      <c r="A93" s="73" t="s">
        <v>532</v>
      </c>
    </row>
    <row r="95" spans="1:1">
      <c r="A95" s="2" t="s">
        <v>533</v>
      </c>
    </row>
    <row r="97" spans="1:1">
      <c r="A97" s="74" t="s">
        <v>534</v>
      </c>
    </row>
    <row r="98" spans="1:1">
      <c r="A98" s="74" t="s">
        <v>535</v>
      </c>
    </row>
    <row r="99" spans="1:1">
      <c r="A99" s="74" t="s">
        <v>536</v>
      </c>
    </row>
    <row r="100" spans="1:1">
      <c r="A100" s="74" t="s">
        <v>537</v>
      </c>
    </row>
    <row r="101" spans="1:1">
      <c r="A101" s="74" t="s">
        <v>538</v>
      </c>
    </row>
    <row r="102" spans="1:1">
      <c r="A102" s="74" t="s">
        <v>539</v>
      </c>
    </row>
    <row r="104" spans="1:1">
      <c r="A104" s="2" t="s">
        <v>217</v>
      </c>
    </row>
    <row r="105" spans="1:1">
      <c r="A105" t="s">
        <v>540</v>
      </c>
    </row>
    <row r="107" spans="1:1">
      <c r="A107" s="2" t="s">
        <v>245</v>
      </c>
    </row>
    <row r="108" spans="1:1">
      <c r="A108" t="s">
        <v>541</v>
      </c>
    </row>
    <row r="110" customFormat="1" ht="18.75" customHeight="1" spans="1:1">
      <c r="A110" s="73" t="s">
        <v>542</v>
      </c>
    </row>
    <row r="112" spans="1:1">
      <c r="A112" t="s">
        <v>543</v>
      </c>
    </row>
    <row r="113" spans="1:1">
      <c r="A113" t="s">
        <v>544</v>
      </c>
    </row>
    <row r="114" spans="1:1">
      <c r="A114" t="s">
        <v>545</v>
      </c>
    </row>
    <row r="115" spans="1:1">
      <c r="A115" t="s">
        <v>546</v>
      </c>
    </row>
    <row r="116" spans="1:1">
      <c r="A116" t="s">
        <v>547</v>
      </c>
    </row>
    <row r="117" spans="1:1">
      <c r="A117" t="s">
        <v>548</v>
      </c>
    </row>
    <row r="119" spans="1:1">
      <c r="A119" t="s">
        <v>549</v>
      </c>
    </row>
    <row r="120" spans="1:1">
      <c r="A120" t="s">
        <v>550</v>
      </c>
    </row>
    <row r="121" spans="1:1">
      <c r="A121" t="s">
        <v>551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
  <sheetViews>
    <sheetView topLeftCell="A25" workbookViewId="0">
      <selection activeCell="A12" sqref="A12:I13"/>
    </sheetView>
  </sheetViews>
  <sheetFormatPr defaultColWidth="9.14285714285714" defaultRowHeight="15"/>
  <cols>
    <col min="1" max="1" width="22.5714285714286" customWidth="1"/>
    <col min="2" max="2" width="20" customWidth="1"/>
    <col min="3" max="3" width="24.5714285714286" customWidth="1"/>
    <col min="4" max="4" width="20" customWidth="1"/>
    <col min="5" max="5" width="34.7142857142857" customWidth="1"/>
    <col min="6" max="6" width="17.7142857142857" customWidth="1"/>
    <col min="7" max="7" width="21.8571428571429" customWidth="1"/>
    <col min="8" max="8" width="19.8571428571429" customWidth="1"/>
    <col min="9" max="9" width="20.2857142857143" customWidth="1"/>
    <col min="10" max="10" width="18.8571428571429" customWidth="1"/>
    <col min="11" max="11" width="18.7142857142857" style="46"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552</v>
      </c>
      <c r="B1" t="s">
        <v>553</v>
      </c>
    </row>
    <row r="2" spans="1:2">
      <c r="A2" t="s">
        <v>554</v>
      </c>
      <c r="B2" t="s">
        <v>555</v>
      </c>
    </row>
    <row r="3" spans="1:2">
      <c r="A3" t="s">
        <v>556</v>
      </c>
      <c r="B3" s="26" t="s">
        <v>557</v>
      </c>
    </row>
    <row r="4" spans="1:2">
      <c r="A4" t="s">
        <v>558</v>
      </c>
      <c r="B4" t="s">
        <v>559</v>
      </c>
    </row>
    <row r="5" spans="1:2">
      <c r="A5" t="s">
        <v>560</v>
      </c>
      <c r="B5" t="s">
        <v>560</v>
      </c>
    </row>
    <row r="6" spans="1:2">
      <c r="A6" t="s">
        <v>561</v>
      </c>
      <c r="B6" t="s">
        <v>561</v>
      </c>
    </row>
    <row r="8" spans="1:8">
      <c r="A8" s="27" t="s">
        <v>439</v>
      </c>
      <c r="B8" s="28" t="s">
        <v>440</v>
      </c>
      <c r="C8" s="28" t="s">
        <v>441</v>
      </c>
      <c r="D8" s="28" t="s">
        <v>562</v>
      </c>
      <c r="E8" s="29" t="s">
        <v>443</v>
      </c>
      <c r="F8" s="27" t="s">
        <v>444</v>
      </c>
      <c r="G8" s="27" t="s">
        <v>445</v>
      </c>
      <c r="H8" s="27" t="s">
        <v>446</v>
      </c>
    </row>
    <row r="9" spans="1:8">
      <c r="A9" t="s">
        <v>190</v>
      </c>
      <c r="B9" s="30">
        <f>SUM(C9,E9)</f>
        <v>51750</v>
      </c>
      <c r="C9" s="30">
        <v>29500</v>
      </c>
      <c r="D9" s="30">
        <f>C9*G9</f>
        <v>29500</v>
      </c>
      <c r="E9" s="31">
        <f>SUMIFS(Item!$F$2:$F$1000,Item!$A$2:$A$1000,$B$3,Item!$E$2:$E$1000,$A9)+SUMIFS(Item!$F$2:$F$1000,Item!$A$2:$A$1000,$B$4,Item!$E$2:$E$1000,$A9)+SUMIFS(Item!$F$2:$F$1000,Item!$A$2:$A$1000,$B$5,Item!$E$2:$E$1000,$A9)+SUMIFS(Item!$F$2:$F$1000,Item!$A$2:$A$1000,$B$6,Item!$E$2:$E$1000,$A9)</f>
        <v>22250</v>
      </c>
      <c r="F9" s="30">
        <f>E9*G9</f>
        <v>22250</v>
      </c>
      <c r="G9">
        <v>1</v>
      </c>
      <c r="H9" s="31">
        <f>B9*G9</f>
        <v>51750</v>
      </c>
    </row>
    <row r="10" spans="1:8">
      <c r="A10" t="s">
        <v>195</v>
      </c>
      <c r="B10" s="30">
        <f>SUM(C10,E10)</f>
        <v>19450</v>
      </c>
      <c r="C10" s="30">
        <v>10500</v>
      </c>
      <c r="D10" s="30">
        <f>C10*G10</f>
        <v>10500</v>
      </c>
      <c r="E10" s="31">
        <f>SUMIFS(Item!$F$2:$F$1000,Item!$A$2:$A$1000,$B$3,Item!$E$2:$E$1000,$A10)+SUMIFS(Item!$F$2:$F$1000,Item!$A$2:$A$1000,$B$4,Item!$E$2:$E$1000,$A10)+SUMIFS(Item!$F$2:$F$1000,Item!$A$2:$A$1000,$B$5,Item!$E$2:$E$1000,$A10)+SUMIFS(Item!$F$2:$F$1000,Item!$A$2:$A$1000,$B$6,Item!$E$2:$E$1000,$A10)</f>
        <v>8950</v>
      </c>
      <c r="F10" s="30">
        <f>E10*G10</f>
        <v>8950</v>
      </c>
      <c r="G10">
        <v>1</v>
      </c>
      <c r="H10" s="31">
        <f>B10*G10</f>
        <v>19450</v>
      </c>
    </row>
    <row r="11" spans="1:8">
      <c r="A11" t="s">
        <v>198</v>
      </c>
      <c r="B11" s="30">
        <f>SUM(C11,E11)</f>
        <v>5357.14285714286</v>
      </c>
      <c r="C11" s="30">
        <f>D11/G11</f>
        <v>1190.47619047619</v>
      </c>
      <c r="D11" s="30">
        <v>10000</v>
      </c>
      <c r="E11" s="31">
        <f>SUMIFS(Item!$F$2:$F$1000,Item!$A$2:$A$1000,$B$3,Item!$E$2:$E$1000,$A11)+SUMIFS(Item!$F$2:$F$1000,Item!$A$2:$A$1000,$B$4,Item!$E$2:$E$1000,$A11)+SUMIFS(Item!$F$2:$F$1000,Item!$A$2:$A$1000,$B$5,Item!$E$2:$E$1000,$A11)+SUMIFS(Item!$F$2:$F$1000,Item!$A$2:$A$1000,$B$6,Item!$E$2:$E$1000,$A11)</f>
        <v>4166.66666666667</v>
      </c>
      <c r="F11" s="30">
        <f>E11*G11</f>
        <v>35000</v>
      </c>
      <c r="G11">
        <v>8.4</v>
      </c>
      <c r="H11" s="31">
        <f>B11*G11</f>
        <v>45000</v>
      </c>
    </row>
    <row r="12" spans="1:8">
      <c r="A12" t="s">
        <v>202</v>
      </c>
      <c r="B12" s="30">
        <f>SUM(C12,E12)</f>
        <v>1857.14285714286</v>
      </c>
      <c r="C12" s="30">
        <f>D12/G12</f>
        <v>821.428571428571</v>
      </c>
      <c r="D12" s="30">
        <v>4600</v>
      </c>
      <c r="E12" s="31">
        <f>SUMIFS(Item!$F$2:$F$1000,Item!$A$2:$A$1000,$B$3,Item!$E$2:$E$1000,$A12)+SUMIFS(Item!$F$2:$F$1000,Item!$A$2:$A$1000,$B$4,Item!$E$2:$E$1000,$A12)+SUMIFS(Item!$F$2:$F$1000,Item!$A$2:$A$1000,$B$5,Item!$E$2:$E$1000,$A12)+SUMIFS(Item!$F$2:$F$1000,Item!$A$2:$A$1000,$B$6,Item!$E$2:$E$1000,$A12)</f>
        <v>1035.71428571429</v>
      </c>
      <c r="F12" s="30">
        <f>E12*G12</f>
        <v>5800</v>
      </c>
      <c r="G12">
        <v>5.6</v>
      </c>
      <c r="H12" s="31">
        <f>B12*G12</f>
        <v>10400</v>
      </c>
    </row>
    <row r="13" spans="1:8">
      <c r="A13" t="s">
        <v>210</v>
      </c>
      <c r="B13" s="30">
        <f>SUM(C13,E13)</f>
        <v>1086.20689655172</v>
      </c>
      <c r="C13" s="30">
        <f>D13/G13</f>
        <v>327.586206896552</v>
      </c>
      <c r="D13" s="30">
        <v>3800</v>
      </c>
      <c r="E13" s="31">
        <f>SUMIFS(Item!$F$2:$F$1000,Item!$A$2:$A$1000,$B$3,Item!$E$2:$E$1000,$A13)+SUMIFS(Item!$F$2:$F$1000,Item!$A$2:$A$1000,$B$4,Item!$E$2:$E$1000,$A13)+SUMIFS(Item!$F$2:$F$1000,Item!$A$2:$A$1000,$B$5,Item!$E$2:$E$1000,$A13)+SUMIFS(Item!$F$2:$F$1000,Item!$A$2:$A$1000,$B$6,Item!$E$2:$E$1000,$A13)</f>
        <v>758.620689655172</v>
      </c>
      <c r="F13" s="30">
        <f>E13*G13</f>
        <v>8800</v>
      </c>
      <c r="G13">
        <v>11.6</v>
      </c>
      <c r="H13" s="31">
        <f>B13*G13</f>
        <v>12600</v>
      </c>
    </row>
    <row r="14" customFormat="1" spans="1:10">
      <c r="A14" t="s">
        <v>288</v>
      </c>
      <c r="B14" s="32">
        <f>B12/(B12+1000)</f>
        <v>0.65</v>
      </c>
      <c r="C14" s="30"/>
      <c r="D14" s="30"/>
      <c r="E14" s="31"/>
      <c r="F14" s="30"/>
      <c r="H14" s="31"/>
      <c r="J14" s="32"/>
    </row>
    <row r="15" customFormat="1" spans="1:10">
      <c r="A15" t="s">
        <v>563</v>
      </c>
      <c r="B15" s="32">
        <f>B13/(B13+1000)</f>
        <v>0.520661157024793</v>
      </c>
      <c r="C15" s="30"/>
      <c r="D15" s="30"/>
      <c r="E15" s="31"/>
      <c r="F15" s="30"/>
      <c r="H15" s="31"/>
      <c r="J15" s="32"/>
    </row>
    <row r="16" spans="1:8">
      <c r="A16" t="s">
        <v>233</v>
      </c>
      <c r="B16" s="33">
        <f t="shared" ref="B16:B26" si="0">SUM(C16,E16)</f>
        <v>1.2</v>
      </c>
      <c r="C16" s="33">
        <v>1</v>
      </c>
      <c r="D16" s="30">
        <f>C16*G16*100</f>
        <v>14000</v>
      </c>
      <c r="E16" s="34">
        <f>SUMIFS(Item!$F$2:$F$1000,Item!$A$2:$A$1000,$B$3,Item!$E$2:$E$1000,$A16)+SUMIFS(Item!$F$2:$F$1000,Item!$A$2:$A$1000,$B$4,Item!$E$2:$E$1000,$A16)+SUMIFS(Item!$F$2:$F$1000,Item!$A$2:$A$1000,$B$5,Item!$E$2:$E$1000,$A16)+SUMIFS(Item!$F$2:$F$1000,Item!$A$2:$A$1000,$B$6,Item!$E$2:$E$1000,$A16)</f>
        <v>0.2</v>
      </c>
      <c r="F16" s="30">
        <f>E16*G16*100</f>
        <v>2800</v>
      </c>
      <c r="G16">
        <v>140</v>
      </c>
      <c r="H16" s="31">
        <f>B16*G16*100</f>
        <v>16800</v>
      </c>
    </row>
    <row r="17" spans="1:8">
      <c r="A17" t="s">
        <v>457</v>
      </c>
      <c r="B17" s="33">
        <f t="shared" si="0"/>
        <v>0</v>
      </c>
      <c r="C17" s="33">
        <v>0</v>
      </c>
      <c r="D17" s="30">
        <f>C17*G17*100</f>
        <v>0</v>
      </c>
      <c r="E17" s="34">
        <f>SUMIFS(Item!$F$2:$F$1000,Item!$A$2:$A$1000,$B$3,Item!$E$2:$E$1000,$A17)+SUMIFS(Item!$F$2:$F$1000,Item!$A$2:$A$1000,$B$4,Item!$E$2:$E$1000,$A17)+SUMIFS(Item!$F$2:$F$1000,Item!$A$2:$A$1000,$B$5,Item!$E$2:$E$1000,$A17)+SUMIFS(Item!$F$2:$F$1000,Item!$A$2:$A$1000,$B$6,Item!$E$2:$E$1000,$A17)</f>
        <v>0</v>
      </c>
      <c r="F17" s="30">
        <f>E17*G17*100</f>
        <v>0</v>
      </c>
      <c r="G17">
        <v>140</v>
      </c>
      <c r="H17" s="31">
        <f>B17*G17*100</f>
        <v>0</v>
      </c>
    </row>
    <row r="18" spans="1:8">
      <c r="A18" t="s">
        <v>224</v>
      </c>
      <c r="B18" s="33">
        <f t="shared" si="0"/>
        <v>0</v>
      </c>
      <c r="C18" s="33">
        <v>0</v>
      </c>
      <c r="D18" s="30">
        <f>C18*G18*100</f>
        <v>0</v>
      </c>
      <c r="E18" s="34">
        <f>SUMIFS(Item!$F$2:$F$1000,Item!$A$2:$A$1000,$B$3,Item!$E$2:$E$1000,$A18)+SUMIFS(Item!$F$2:$F$1000,Item!$A$2:$A$1000,$B$4,Item!$E$2:$E$1000,$A18)+SUMIFS(Item!$F$2:$F$1000,Item!$A$2:$A$1000,$B$5,Item!$E$2:$E$1000,$A18)+SUMIFS(Item!$F$2:$F$1000,Item!$A$2:$A$1000,$B$6,Item!$E$2:$E$1000,$A18)</f>
        <v>0</v>
      </c>
      <c r="F18" s="30">
        <f>E18*G18*100</f>
        <v>0</v>
      </c>
      <c r="G18">
        <v>140</v>
      </c>
      <c r="H18" s="31">
        <f>B18*G18*100</f>
        <v>0</v>
      </c>
    </row>
    <row r="19" spans="1:8">
      <c r="A19" t="s">
        <v>229</v>
      </c>
      <c r="B19" s="33">
        <f t="shared" si="0"/>
        <v>0</v>
      </c>
      <c r="C19" s="33">
        <v>0</v>
      </c>
      <c r="D19" s="30">
        <f>C19*G19*100</f>
        <v>0</v>
      </c>
      <c r="E19" s="34">
        <f>SUMIFS(Item!$F$2:$F$1000,Item!$A$2:$A$1000,$B$3,Item!$E$2:$E$1000,$A19)+SUMIFS(Item!$F$2:$F$1000,Item!$A$2:$A$1000,$B$4,Item!$E$2:$E$1000,$A19)+SUMIFS(Item!$F$2:$F$1000,Item!$A$2:$A$1000,$B$5,Item!$E$2:$E$1000,$A19)+SUMIFS(Item!$F$2:$F$1000,Item!$A$2:$A$1000,$B$6,Item!$E$2:$E$1000,$A19)</f>
        <v>0</v>
      </c>
      <c r="F19" s="30">
        <f>E19*G19*100</f>
        <v>0</v>
      </c>
      <c r="G19">
        <v>28</v>
      </c>
      <c r="H19" s="31">
        <f>B19*G19*100</f>
        <v>0</v>
      </c>
    </row>
    <row r="20" spans="1:8">
      <c r="A20" t="s">
        <v>217</v>
      </c>
      <c r="B20" s="30">
        <f t="shared" si="0"/>
        <v>70</v>
      </c>
      <c r="C20" s="30">
        <v>100</v>
      </c>
      <c r="D20" s="30">
        <f>C20*G20</f>
        <v>40000</v>
      </c>
      <c r="E20" s="31">
        <f>SUMIFS(Item!$F$2:$F$1000,Item!$A$2:$A$1000,$B$3,Item!$E$2:$E$1000,$A20)+SUMIFS(Item!$F$2:$F$1000,Item!$A$2:$A$1000,$B$4,Item!$E$2:$E$1000,$A20)+SUMIFS(Item!$F$2:$F$1000,Item!$A$2:$A$1000,$B$5,Item!$E$2:$E$1000,$A20)+SUMIFS(Item!$F$2:$F$1000,Item!$A$2:$A$1000,$B$6,Item!$E$2:$E$1000,$A20)</f>
        <v>-30</v>
      </c>
      <c r="F20" s="30">
        <f>E20*G20</f>
        <v>-12000</v>
      </c>
      <c r="G20">
        <v>400</v>
      </c>
      <c r="H20" s="31">
        <f>B20*G20</f>
        <v>28000</v>
      </c>
    </row>
    <row r="21" spans="1:8">
      <c r="A21" t="s">
        <v>391</v>
      </c>
      <c r="B21" s="30">
        <f t="shared" si="0"/>
        <v>4</v>
      </c>
      <c r="C21" s="30">
        <v>4</v>
      </c>
      <c r="D21" s="30">
        <f>C21*G21</f>
        <v>4500</v>
      </c>
      <c r="E21" s="31">
        <f>SUMIFS(Item!$F$2:$F$1000,Item!$A$2:$A$1000,$B$3,Item!$E$2:$E$1000,$A21)+SUMIFS(Item!$F$2:$F$1000,Item!$A$2:$A$1000,$B$4,Item!$E$2:$E$1000,$A21)+SUMIFS(Item!$F$2:$F$1000,Item!$A$2:$A$1000,$B$5,Item!$E$2:$E$1000,$A21)+SUMIFS(Item!$F$2:$F$1000,Item!$A$2:$A$1000,$B$6,Item!$E$2:$E$1000,$A21)</f>
        <v>0</v>
      </c>
      <c r="F21" s="30">
        <f>E21*G21</f>
        <v>0</v>
      </c>
      <c r="G21">
        <v>1125</v>
      </c>
      <c r="H21" s="31">
        <f>B21*G21</f>
        <v>4500</v>
      </c>
    </row>
    <row r="22" spans="1:8">
      <c r="A22" t="s">
        <v>459</v>
      </c>
      <c r="B22" s="30">
        <f t="shared" si="0"/>
        <v>0</v>
      </c>
      <c r="C22" s="30">
        <v>0</v>
      </c>
      <c r="D22" s="30">
        <f>C22*G22</f>
        <v>0</v>
      </c>
      <c r="E22" s="31">
        <f>SUMIFS(Item!$F$2:$F$1000,Item!$A$2:$A$1000,$B$3,Item!$E$2:$E$1000,$A22)+SUMIFS(Item!$F$2:$F$1000,Item!$A$2:$A$1000,$B$4,Item!$E$2:$E$1000,$A22)+SUMIFS(Item!$F$2:$F$1000,Item!$A$2:$A$1000,$B$5,Item!$E$2:$E$1000,$A22)+SUMIFS(Item!$F$2:$F$1000,Item!$A$2:$A$1000,$B$6,Item!$E$2:$E$1000,$A22)</f>
        <v>0</v>
      </c>
      <c r="F22" s="30">
        <f>E22*G22</f>
        <v>0</v>
      </c>
      <c r="G22">
        <v>4800</v>
      </c>
      <c r="H22" s="31">
        <f>B22*G22</f>
        <v>0</v>
      </c>
    </row>
    <row r="23" spans="1:8">
      <c r="A23" t="s">
        <v>460</v>
      </c>
      <c r="B23" s="30">
        <f t="shared" si="0"/>
        <v>10</v>
      </c>
      <c r="C23" s="30">
        <v>10</v>
      </c>
      <c r="D23" s="30">
        <f>C23*G23</f>
        <v>23260</v>
      </c>
      <c r="E23" s="31">
        <f>SUMIFS(Item!$F$2:$F$1000,Item!$A$2:$A$1000,$B$3,Item!$E$2:$E$1000,$A23)+SUMIFS(Item!$F$2:$F$1000,Item!$A$2:$A$1000,$B$4,Item!$E$2:$E$1000,$A23)+SUMIFS(Item!$F$2:$F$1000,Item!$A$2:$A$1000,$B$5,Item!$E$2:$E$1000,$A23)+SUMIFS(Item!$F$2:$F$1000,Item!$A$2:$A$1000,$B$6,Item!$E$2:$E$1000,$A23)</f>
        <v>0</v>
      </c>
      <c r="F23" s="30">
        <f>E23*G23</f>
        <v>0</v>
      </c>
      <c r="G23">
        <v>2326</v>
      </c>
      <c r="H23" s="31">
        <f>B23*G23</f>
        <v>23260</v>
      </c>
    </row>
    <row r="24" spans="1:8">
      <c r="A24" t="s">
        <v>237</v>
      </c>
      <c r="B24" s="33">
        <f t="shared" si="0"/>
        <v>1</v>
      </c>
      <c r="C24" s="33">
        <v>1</v>
      </c>
      <c r="D24" s="30">
        <f>C24*G24*100</f>
        <v>16800</v>
      </c>
      <c r="E24" s="34">
        <f>SUMIFS(Item!$F$2:$F$1000,Item!$A$2:$A$1000,$B$3,Item!$E$2:$E$1000,$A24)+SUMIFS(Item!$F$2:$F$1000,Item!$A$2:$A$1000,$B$4,Item!$E$2:$E$1000,$A24)+SUMIFS(Item!$F$2:$F$1000,Item!$A$2:$A$1000,$B$5,Item!$E$2:$E$1000,$A24)+SUMIFS(Item!$F$2:$F$1000,Item!$A$2:$A$1000,$B$6,Item!$E$2:$E$1000,$A24)</f>
        <v>0</v>
      </c>
      <c r="F24" s="30">
        <f>E24*G24*100</f>
        <v>0</v>
      </c>
      <c r="G24">
        <v>168</v>
      </c>
      <c r="H24" s="31">
        <f>B24*G24*100</f>
        <v>16800</v>
      </c>
    </row>
    <row r="25" spans="1:8">
      <c r="A25" t="s">
        <v>241</v>
      </c>
      <c r="B25" s="33">
        <f t="shared" si="0"/>
        <v>0</v>
      </c>
      <c r="C25" s="33">
        <v>0</v>
      </c>
      <c r="D25" s="30">
        <f>C25*G25*100</f>
        <v>0</v>
      </c>
      <c r="E25" s="34">
        <f>SUMIFS(Item!$F$2:$F$1000,Item!$A$2:$A$1000,$B$3,Item!$E$2:$E$1000,$A25)+SUMIFS(Item!$F$2:$F$1000,Item!$A$2:$A$1000,$B$4,Item!$E$2:$E$1000,$A25)+SUMIFS(Item!$F$2:$F$1000,Item!$A$2:$A$1000,$B$5,Item!$E$2:$E$1000,$A25)+SUMIFS(Item!$F$2:$F$1000,Item!$A$2:$A$1000,$B$6,Item!$E$2:$E$1000,$A25)</f>
        <v>0</v>
      </c>
      <c r="F25" s="30">
        <f>E25*G25*100</f>
        <v>0</v>
      </c>
      <c r="G25">
        <v>168</v>
      </c>
      <c r="H25" s="31">
        <f>B25*G25*100</f>
        <v>0</v>
      </c>
    </row>
    <row r="26" spans="1:8">
      <c r="A26" t="s">
        <v>245</v>
      </c>
      <c r="B26" s="33">
        <f t="shared" si="0"/>
        <v>0</v>
      </c>
      <c r="C26" s="33">
        <v>0</v>
      </c>
      <c r="D26" s="30">
        <f>C26*G26*100</f>
        <v>0</v>
      </c>
      <c r="E26" s="34">
        <f>SUMIFS(Item!$F$2:$F$1000,Item!$A$2:$A$1000,$B$3,Item!$E$2:$E$1000,$A26)+SUMIFS(Item!$F$2:$F$1000,Item!$A$2:$A$1000,$B$4,Item!$E$2:$E$1000,$A26)+SUMIFS(Item!$F$2:$F$1000,Item!$A$2:$A$1000,$B$5,Item!$E$2:$E$1000,$A26)+SUMIFS(Item!$F$2:$F$1000,Item!$A$2:$A$1000,$B$6,Item!$E$2:$E$1000,$A26)</f>
        <v>0</v>
      </c>
      <c r="F26" s="30">
        <f>E26*G26*100</f>
        <v>0</v>
      </c>
      <c r="G26">
        <v>233</v>
      </c>
      <c r="H26" s="31">
        <f>B26*G26*100</f>
        <v>0</v>
      </c>
    </row>
    <row r="27" spans="1:8">
      <c r="A27" s="2" t="s">
        <v>461</v>
      </c>
      <c r="B27" s="2"/>
      <c r="C27" s="2"/>
      <c r="D27" s="35">
        <f>SUM(D9:D26)</f>
        <v>156960</v>
      </c>
      <c r="E27" s="36"/>
      <c r="F27" s="35">
        <f>SUM(F9:F26)</f>
        <v>71600</v>
      </c>
      <c r="G27" s="2"/>
      <c r="H27" s="35">
        <f>SUM(H9:H26)</f>
        <v>228560</v>
      </c>
    </row>
    <row r="28" spans="1:6">
      <c r="A28" t="s">
        <v>564</v>
      </c>
      <c r="D28" s="36">
        <f>'Balanced Dummy '!D18-D27</f>
        <v>0</v>
      </c>
      <c r="E28" s="36"/>
      <c r="F28" s="36"/>
    </row>
    <row r="30" spans="1:11">
      <c r="A30" s="37" t="s">
        <v>565</v>
      </c>
      <c r="B30" s="60" t="s">
        <v>85</v>
      </c>
      <c r="C30" s="60" t="s">
        <v>448</v>
      </c>
      <c r="D30" s="60" t="s">
        <v>449</v>
      </c>
      <c r="E30" s="60" t="s">
        <v>28</v>
      </c>
      <c r="F30" s="61" t="s">
        <v>403</v>
      </c>
      <c r="G30" s="61" t="s">
        <v>566</v>
      </c>
      <c r="H30" s="61" t="s">
        <v>114</v>
      </c>
      <c r="I30" s="60" t="s">
        <v>308</v>
      </c>
      <c r="J30" s="61" t="s">
        <v>567</v>
      </c>
      <c r="K30" s="60" t="s">
        <v>568</v>
      </c>
    </row>
    <row r="31" spans="1:11">
      <c r="A31" s="61" t="s">
        <v>569</v>
      </c>
      <c r="B31" s="62">
        <v>150</v>
      </c>
      <c r="C31" s="63">
        <f>B31*1000/50</f>
        <v>3000</v>
      </c>
      <c r="D31" s="63">
        <v>6</v>
      </c>
      <c r="E31" s="60" t="s">
        <v>570</v>
      </c>
      <c r="F31" s="61" t="s">
        <v>571</v>
      </c>
      <c r="G31" s="61" t="s">
        <v>572</v>
      </c>
      <c r="H31" s="64">
        <v>3</v>
      </c>
      <c r="I31" s="60" t="s">
        <v>573</v>
      </c>
      <c r="J31" s="61" t="s">
        <v>574</v>
      </c>
      <c r="K31" s="60">
        <f>4.8*1000*2%*5</f>
        <v>480</v>
      </c>
    </row>
    <row r="32" ht="49" customHeight="1" spans="1:11">
      <c r="A32" s="61"/>
      <c r="B32" s="65"/>
      <c r="C32" s="63"/>
      <c r="D32" s="63"/>
      <c r="E32" s="60"/>
      <c r="F32" s="61"/>
      <c r="G32" s="61"/>
      <c r="H32" s="64"/>
      <c r="I32" s="61" t="s">
        <v>575</v>
      </c>
      <c r="J32" s="61" t="s">
        <v>574</v>
      </c>
      <c r="K32" s="60">
        <f>4.8*1000*2%*5</f>
        <v>480</v>
      </c>
    </row>
    <row r="33" ht="45" spans="1:11">
      <c r="A33" s="66" t="s">
        <v>576</v>
      </c>
      <c r="B33" s="66">
        <v>300</v>
      </c>
      <c r="C33" s="67">
        <f>B33*1000/50</f>
        <v>6000</v>
      </c>
      <c r="D33" s="68">
        <v>4</v>
      </c>
      <c r="E33" s="66" t="s">
        <v>577</v>
      </c>
      <c r="F33" s="66" t="s">
        <v>571</v>
      </c>
      <c r="G33" s="66" t="s">
        <v>578</v>
      </c>
      <c r="H33" s="68"/>
      <c r="I33" s="66" t="s">
        <v>579</v>
      </c>
      <c r="J33" s="66" t="s">
        <v>580</v>
      </c>
      <c r="K33" s="62">
        <f>4.8*1000*70%*5</f>
        <v>16800</v>
      </c>
    </row>
    <row r="34" ht="30" spans="1:11">
      <c r="A34" s="61" t="s">
        <v>581</v>
      </c>
      <c r="B34" s="61" t="s">
        <v>582</v>
      </c>
      <c r="C34" s="63">
        <v>800</v>
      </c>
      <c r="D34" s="64">
        <v>2</v>
      </c>
      <c r="E34" s="61" t="s">
        <v>583</v>
      </c>
      <c r="F34" s="61" t="s">
        <v>584</v>
      </c>
      <c r="G34" s="61" t="s">
        <v>578</v>
      </c>
      <c r="H34" s="64">
        <v>2</v>
      </c>
      <c r="I34" s="61" t="s">
        <v>585</v>
      </c>
      <c r="J34" s="61" t="s">
        <v>586</v>
      </c>
      <c r="K34" s="69">
        <f>10%*5</f>
        <v>0.5</v>
      </c>
    </row>
    <row r="35" spans="1:11">
      <c r="A35" s="61"/>
      <c r="B35" s="61"/>
      <c r="C35" s="63"/>
      <c r="D35" s="64"/>
      <c r="E35" s="61"/>
      <c r="F35" s="61"/>
      <c r="G35" s="61"/>
      <c r="H35" s="64"/>
      <c r="I35" s="61" t="s">
        <v>587</v>
      </c>
      <c r="J35" s="61" t="s">
        <v>588</v>
      </c>
      <c r="K35" s="70">
        <f>3%*5</f>
        <v>0.15</v>
      </c>
    </row>
    <row r="36" ht="43" customHeight="1" spans="1:11">
      <c r="A36" s="61"/>
      <c r="B36" s="61"/>
      <c r="C36" s="63"/>
      <c r="D36" s="64"/>
      <c r="E36" s="61"/>
      <c r="F36" s="61"/>
      <c r="G36" s="61"/>
      <c r="H36" s="64"/>
      <c r="I36" s="61" t="s">
        <v>589</v>
      </c>
      <c r="J36" s="61" t="s">
        <v>590</v>
      </c>
      <c r="K36" s="70">
        <f>3%*5</f>
        <v>0.15</v>
      </c>
    </row>
    <row r="38" ht="60" spans="1:8">
      <c r="A38" s="41" t="s">
        <v>591</v>
      </c>
      <c r="B38" s="41" t="s">
        <v>592</v>
      </c>
      <c r="C38" s="41" t="s">
        <v>593</v>
      </c>
      <c r="D38" s="41" t="s">
        <v>594</v>
      </c>
      <c r="E38" s="41" t="s">
        <v>595</v>
      </c>
      <c r="F38" s="41" t="s">
        <v>596</v>
      </c>
      <c r="G38" s="41" t="s">
        <v>597</v>
      </c>
      <c r="H38" s="41" t="s">
        <v>598</v>
      </c>
    </row>
    <row r="39" ht="60" spans="1:8">
      <c r="A39" s="41"/>
      <c r="B39" s="41"/>
      <c r="C39" s="41"/>
      <c r="D39" s="41"/>
      <c r="E39" s="41" t="s">
        <v>599</v>
      </c>
      <c r="F39" s="41" t="s">
        <v>600</v>
      </c>
      <c r="G39" s="41" t="s">
        <v>601</v>
      </c>
      <c r="H39" s="41" t="s">
        <v>602</v>
      </c>
    </row>
    <row r="40" ht="60" spans="1:10">
      <c r="A40" s="40" t="s">
        <v>603</v>
      </c>
      <c r="B40" s="40" t="s">
        <v>604</v>
      </c>
      <c r="C40" s="40" t="s">
        <v>605</v>
      </c>
      <c r="D40" s="40" t="s">
        <v>606</v>
      </c>
      <c r="E40" s="41" t="s">
        <v>607</v>
      </c>
      <c r="F40" s="41" t="s">
        <v>608</v>
      </c>
      <c r="G40" s="41" t="s">
        <v>609</v>
      </c>
      <c r="H40" s="41" t="s">
        <v>610</v>
      </c>
      <c r="I40" s="71"/>
      <c r="J40" s="71"/>
    </row>
    <row r="41" ht="60" spans="1:10">
      <c r="A41" s="42"/>
      <c r="B41" s="42"/>
      <c r="C41" s="42"/>
      <c r="D41" s="42"/>
      <c r="E41" s="41" t="s">
        <v>611</v>
      </c>
      <c r="F41" s="41" t="s">
        <v>612</v>
      </c>
      <c r="G41" s="41" t="s">
        <v>613</v>
      </c>
      <c r="H41" s="41" t="s">
        <v>614</v>
      </c>
      <c r="J41" s="71"/>
    </row>
  </sheetData>
  <mergeCells count="24">
    <mergeCell ref="A31:A32"/>
    <mergeCell ref="A34:A36"/>
    <mergeCell ref="A38:A39"/>
    <mergeCell ref="A40:A41"/>
    <mergeCell ref="B31:B32"/>
    <mergeCell ref="B34:B36"/>
    <mergeCell ref="B38:B39"/>
    <mergeCell ref="B40:B41"/>
    <mergeCell ref="C31:C32"/>
    <mergeCell ref="C34:C36"/>
    <mergeCell ref="C38:C39"/>
    <mergeCell ref="C40:C41"/>
    <mergeCell ref="D31:D32"/>
    <mergeCell ref="D34:D36"/>
    <mergeCell ref="D38:D39"/>
    <mergeCell ref="D40:D41"/>
    <mergeCell ref="E31:E32"/>
    <mergeCell ref="E34:E36"/>
    <mergeCell ref="F31:F32"/>
    <mergeCell ref="F34:F36"/>
    <mergeCell ref="G31:G32"/>
    <mergeCell ref="G34:G36"/>
    <mergeCell ref="H31:H32"/>
    <mergeCell ref="H34:H36"/>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0"/>
  <sheetViews>
    <sheetView tabSelected="1" topLeftCell="A4" workbookViewId="0">
      <selection activeCell="C49" sqref="C49"/>
    </sheetView>
  </sheetViews>
  <sheetFormatPr defaultColWidth="9.14285714285714" defaultRowHeight="15"/>
  <cols>
    <col min="1" max="1" width="22.5714285714286" customWidth="1"/>
    <col min="2" max="2" width="19.5714285714286" customWidth="1"/>
    <col min="3" max="3" width="26.4285714285714" customWidth="1"/>
    <col min="4" max="4" width="18.8571428571429" customWidth="1"/>
    <col min="5" max="5" width="34.8571428571429" customWidth="1"/>
    <col min="6" max="6" width="23.4285714285714" customWidth="1"/>
    <col min="7" max="7" width="27" customWidth="1"/>
    <col min="8" max="8" width="34" customWidth="1"/>
    <col min="9" max="9" width="34.1428571428571" customWidth="1"/>
    <col min="10" max="10" width="15.4285714285714" customWidth="1"/>
    <col min="11" max="11" width="10.8571428571429" customWidth="1"/>
  </cols>
  <sheetData>
    <row r="1" spans="1:2">
      <c r="A1" t="s">
        <v>552</v>
      </c>
      <c r="B1" t="s">
        <v>615</v>
      </c>
    </row>
    <row r="2" spans="1:2">
      <c r="A2" t="s">
        <v>554</v>
      </c>
      <c r="B2" t="s">
        <v>616</v>
      </c>
    </row>
    <row r="3" spans="1:2">
      <c r="A3" t="s">
        <v>556</v>
      </c>
      <c r="B3" s="26" t="s">
        <v>617</v>
      </c>
    </row>
    <row r="4" spans="1:2">
      <c r="A4" t="s">
        <v>558</v>
      </c>
      <c r="B4" t="s">
        <v>618</v>
      </c>
    </row>
    <row r="5" spans="1:2">
      <c r="A5" t="s">
        <v>560</v>
      </c>
      <c r="B5" t="s">
        <v>560</v>
      </c>
    </row>
    <row r="6" spans="1:2">
      <c r="A6" t="s">
        <v>561</v>
      </c>
      <c r="B6" t="s">
        <v>561</v>
      </c>
    </row>
    <row r="8" spans="1:8">
      <c r="A8" s="27" t="s">
        <v>439</v>
      </c>
      <c r="B8" s="28" t="s">
        <v>440</v>
      </c>
      <c r="C8" s="28" t="s">
        <v>441</v>
      </c>
      <c r="D8" s="28" t="s">
        <v>562</v>
      </c>
      <c r="E8" s="29" t="s">
        <v>443</v>
      </c>
      <c r="F8" s="27" t="s">
        <v>444</v>
      </c>
      <c r="G8" s="27" t="s">
        <v>445</v>
      </c>
      <c r="H8" s="27" t="s">
        <v>446</v>
      </c>
    </row>
    <row r="9" spans="1:8">
      <c r="A9" t="s">
        <v>190</v>
      </c>
      <c r="B9" s="30">
        <f>SUM(C9,E9)</f>
        <v>46650</v>
      </c>
      <c r="C9" s="30">
        <v>24400</v>
      </c>
      <c r="D9" s="30">
        <f t="shared" ref="D9:D13" si="0">C9*G9</f>
        <v>24400</v>
      </c>
      <c r="E9" s="31">
        <f>SUMIFS(Item!$F$2:$F$1000,Item!$A$2:$A$1000,$B$3,Item!$E$2:$E$1000,$A9)+SUMIFS(Item!$F$2:$F$1000,Item!$A$2:$A$1000,$B$4,Item!$E$2:$E$1000,$A9)+SUMIFS(Item!$F$2:$F$1000,Item!$A$2:$A$1000,$B$5,Item!$E$2:$E$1000,$A9)+SUMIFS(Item!$F$2:$F$1000,Item!$A$2:$A$1000,$B$6,Item!$E$2:$E$1000,$A9)</f>
        <v>22250</v>
      </c>
      <c r="F9" s="30">
        <f t="shared" ref="F9:F13" si="1">E9*G9</f>
        <v>22250</v>
      </c>
      <c r="G9">
        <v>1</v>
      </c>
      <c r="H9" s="31">
        <f t="shared" ref="H9:H13" si="2">B9*G9</f>
        <v>46650</v>
      </c>
    </row>
    <row r="10" spans="1:8">
      <c r="A10" t="s">
        <v>195</v>
      </c>
      <c r="B10" s="30">
        <f>SUM(C10,E10)</f>
        <v>26950</v>
      </c>
      <c r="C10" s="30">
        <v>18000</v>
      </c>
      <c r="D10" s="30">
        <f t="shared" si="0"/>
        <v>18000</v>
      </c>
      <c r="E10" s="31">
        <f>SUMIFS(Item!$F$2:$F$1000,Item!$A$2:$A$1000,$B$3,Item!$E$2:$E$1000,$A10)+SUMIFS(Item!$F$2:$F$1000,Item!$A$2:$A$1000,$B$4,Item!$E$2:$E$1000,$A10)+SUMIFS(Item!$F$2:$F$1000,Item!$A$2:$A$1000,$B$5,Item!$E$2:$E$1000,$A10)+SUMIFS(Item!$F$2:$F$1000,Item!$A$2:$A$1000,$B$6,Item!$E$2:$E$1000,$A10)</f>
        <v>8950</v>
      </c>
      <c r="F10" s="30">
        <f t="shared" si="1"/>
        <v>8950</v>
      </c>
      <c r="G10">
        <v>1</v>
      </c>
      <c r="H10" s="31">
        <f t="shared" si="2"/>
        <v>26950</v>
      </c>
    </row>
    <row r="11" spans="1:8">
      <c r="A11" t="s">
        <v>198</v>
      </c>
      <c r="B11" s="30">
        <f>SUM(C11,E11)</f>
        <v>2988.33333333334</v>
      </c>
      <c r="C11" s="30">
        <f>3406/G11</f>
        <v>405.47619047619</v>
      </c>
      <c r="D11" s="30">
        <f t="shared" si="0"/>
        <v>3406</v>
      </c>
      <c r="E11" s="31">
        <f>SUMIFS(Item!$F$2:$F$1000,Item!$A$2:$A$1000,$B$3,Item!$E$2:$E$1000,$A11)+SUMIFS(Item!$F$2:$F$1000,Item!$A$2:$A$1000,$B$4,Item!$E$2:$E$1000,$A11)+SUMIFS(Item!$F$2:$F$1000,Item!$A$2:$A$1000,$B$5,Item!$E$2:$E$1000,$A11)+SUMIFS(Item!$F$2:$F$1000,Item!$A$2:$A$1000,$B$6,Item!$E$2:$E$1000,$A11)</f>
        <v>2582.85714285715</v>
      </c>
      <c r="F11" s="30">
        <f t="shared" si="1"/>
        <v>21696</v>
      </c>
      <c r="G11">
        <v>8.4</v>
      </c>
      <c r="H11" s="31">
        <f t="shared" si="2"/>
        <v>25102</v>
      </c>
    </row>
    <row r="12" spans="1:11">
      <c r="A12" t="s">
        <v>202</v>
      </c>
      <c r="B12" s="30">
        <f>SUM(C12,E12)</f>
        <v>1749.71428571429</v>
      </c>
      <c r="C12" s="30">
        <v>714</v>
      </c>
      <c r="D12" s="30">
        <f t="shared" si="0"/>
        <v>3998.4</v>
      </c>
      <c r="E12" s="31">
        <f>SUMIFS(Item!$F$2:$F$1000,Item!$A$2:$A$1000,$B$3,Item!$E$2:$E$1000,$A12)+SUMIFS(Item!$F$2:$F$1000,Item!$A$2:$A$1000,$B$4,Item!$E$2:$E$1000,$A12)+SUMIFS(Item!$F$2:$F$1000,Item!$A$2:$A$1000,$B$5,Item!$E$2:$E$1000,$A12)+SUMIFS(Item!$F$2:$F$1000,Item!$A$2:$A$1000,$B$6,Item!$E$2:$E$1000,$A12)</f>
        <v>1035.71428571429</v>
      </c>
      <c r="F12" s="30">
        <f t="shared" si="1"/>
        <v>5800</v>
      </c>
      <c r="G12">
        <v>5.6</v>
      </c>
      <c r="H12" s="31">
        <f t="shared" si="2"/>
        <v>9798.4</v>
      </c>
      <c r="I12" s="31"/>
      <c r="J12" s="31"/>
      <c r="K12" s="32"/>
    </row>
    <row r="13" spans="1:10">
      <c r="A13" t="s">
        <v>210</v>
      </c>
      <c r="B13" s="30">
        <f>SUM(C13,E13)</f>
        <v>1499.62068965517</v>
      </c>
      <c r="C13" s="30">
        <v>741</v>
      </c>
      <c r="D13" s="30">
        <f>C13*G13</f>
        <v>8595.6</v>
      </c>
      <c r="E13" s="31">
        <f>SUMIFS(Item!$F$2:$F$1000,Item!$A$2:$A$1000,$B$3,Item!$E$2:$E$1000,$A13)+SUMIFS(Item!$F$2:$F$1000,Item!$A$2:$A$1000,$B$4,Item!$E$2:$E$1000,$A13)+SUMIFS(Item!$F$2:$F$1000,Item!$A$2:$A$1000,$B$5,Item!$E$2:$E$1000,$A13)+SUMIFS(Item!$F$2:$F$1000,Item!$A$2:$A$1000,$B$6,Item!$E$2:$E$1000,$A13)</f>
        <v>758.620689655172</v>
      </c>
      <c r="F13" s="30">
        <f t="shared" si="1"/>
        <v>8799.99999999999</v>
      </c>
      <c r="G13">
        <v>11.6</v>
      </c>
      <c r="H13" s="31">
        <f t="shared" si="2"/>
        <v>17395.6</v>
      </c>
      <c r="I13" s="31"/>
      <c r="J13" s="32"/>
    </row>
    <row r="14" spans="1:10">
      <c r="A14" t="s">
        <v>288</v>
      </c>
      <c r="B14" s="32">
        <f>B12/(B12+1000)</f>
        <v>0.636325852036575</v>
      </c>
      <c r="C14" s="30"/>
      <c r="D14" s="30"/>
      <c r="E14" s="31"/>
      <c r="F14" s="30"/>
      <c r="H14" s="31"/>
      <c r="I14" s="32"/>
      <c r="J14" s="32"/>
    </row>
    <row r="15" spans="1:10">
      <c r="A15" t="s">
        <v>563</v>
      </c>
      <c r="B15" s="32">
        <f>B13/(B13+1000)</f>
        <v>0.599939301135345</v>
      </c>
      <c r="C15" s="30"/>
      <c r="D15" s="30"/>
      <c r="E15" s="31"/>
      <c r="F15" s="30"/>
      <c r="H15" s="31"/>
      <c r="I15" s="32"/>
      <c r="J15" s="32"/>
    </row>
    <row r="16" spans="1:8">
      <c r="A16" t="s">
        <v>233</v>
      </c>
      <c r="B16" s="33">
        <f t="shared" ref="B16:B26" si="3">SUM(C16,E16)</f>
        <v>1.2</v>
      </c>
      <c r="C16" s="33">
        <v>1</v>
      </c>
      <c r="D16" s="30">
        <f t="shared" ref="D16:D19" si="4">C16*G16*100</f>
        <v>14000</v>
      </c>
      <c r="E16" s="34">
        <f>SUMIFS(Item!$F$2:$F$1000,Item!$A$2:$A$1000,$B$3,Item!$E$2:$E$1000,$A16)+SUMIFS(Item!$F$2:$F$1000,Item!$A$2:$A$1000,$B$4,Item!$E$2:$E$1000,$A16)+SUMIFS(Item!$F$2:$F$1000,Item!$A$2:$A$1000,$B$5,Item!$E$2:$E$1000,$A16)+SUMIFS(Item!$F$2:$F$1000,Item!$A$2:$A$1000,$B$6,Item!$E$2:$E$1000,$A16)</f>
        <v>0.2</v>
      </c>
      <c r="F16" s="30">
        <f t="shared" ref="F16:F19" si="5">E16*G16*100</f>
        <v>2800</v>
      </c>
      <c r="G16">
        <v>140</v>
      </c>
      <c r="H16" s="31">
        <f t="shared" ref="H16:H19" si="6">B16*G16*100</f>
        <v>16800</v>
      </c>
    </row>
    <row r="17" spans="1:8">
      <c r="A17" t="s">
        <v>457</v>
      </c>
      <c r="B17" s="33">
        <f t="shared" si="3"/>
        <v>0</v>
      </c>
      <c r="C17" s="33">
        <v>0</v>
      </c>
      <c r="D17" s="30">
        <f t="shared" si="4"/>
        <v>0</v>
      </c>
      <c r="E17" s="34">
        <f>SUMIFS(Item!$F$2:$F$1000,Item!$A$2:$A$1000,$B$3,Item!$E$2:$E$1000,$A17)+SUMIFS(Item!$F$2:$F$1000,Item!$A$2:$A$1000,$B$4,Item!$E$2:$E$1000,$A17)+SUMIFS(Item!$F$2:$F$1000,Item!$A$2:$A$1000,$B$5,Item!$E$2:$E$1000,$A17)+SUMIFS(Item!$F$2:$F$1000,Item!$A$2:$A$1000,$B$6,Item!$E$2:$E$1000,$A17)</f>
        <v>0</v>
      </c>
      <c r="F17" s="30">
        <f t="shared" si="5"/>
        <v>0</v>
      </c>
      <c r="G17">
        <v>140</v>
      </c>
      <c r="H17" s="31">
        <f t="shared" si="6"/>
        <v>0</v>
      </c>
    </row>
    <row r="18" spans="1:8">
      <c r="A18" t="s">
        <v>224</v>
      </c>
      <c r="B18" s="33">
        <f t="shared" si="3"/>
        <v>0</v>
      </c>
      <c r="C18" s="33">
        <v>0</v>
      </c>
      <c r="D18" s="30">
        <f t="shared" si="4"/>
        <v>0</v>
      </c>
      <c r="E18" s="34">
        <f>SUMIFS(Item!$F$2:$F$1000,Item!$A$2:$A$1000,$B$3,Item!$E$2:$E$1000,$A18)+SUMIFS(Item!$F$2:$F$1000,Item!$A$2:$A$1000,$B$4,Item!$E$2:$E$1000,$A18)+SUMIFS(Item!$F$2:$F$1000,Item!$A$2:$A$1000,$B$5,Item!$E$2:$E$1000,$A18)+SUMIFS(Item!$F$2:$F$1000,Item!$A$2:$A$1000,$B$6,Item!$E$2:$E$1000,$A18)</f>
        <v>0</v>
      </c>
      <c r="F18" s="30">
        <f t="shared" si="5"/>
        <v>0</v>
      </c>
      <c r="G18">
        <v>140</v>
      </c>
      <c r="H18" s="31">
        <f t="shared" si="6"/>
        <v>0</v>
      </c>
    </row>
    <row r="19" spans="1:8">
      <c r="A19" t="s">
        <v>229</v>
      </c>
      <c r="B19" s="33">
        <f t="shared" si="3"/>
        <v>0</v>
      </c>
      <c r="C19" s="33">
        <v>0</v>
      </c>
      <c r="D19" s="30">
        <f t="shared" si="4"/>
        <v>0</v>
      </c>
      <c r="E19" s="34">
        <f>SUMIFS(Item!$F$2:$F$1000,Item!$A$2:$A$1000,$B$3,Item!$E$2:$E$1000,$A19)+SUMIFS(Item!$F$2:$F$1000,Item!$A$2:$A$1000,$B$4,Item!$E$2:$E$1000,$A19)+SUMIFS(Item!$F$2:$F$1000,Item!$A$2:$A$1000,$B$5,Item!$E$2:$E$1000,$A19)+SUMIFS(Item!$F$2:$F$1000,Item!$A$2:$A$1000,$B$6,Item!$E$2:$E$1000,$A19)</f>
        <v>0</v>
      </c>
      <c r="F19" s="30">
        <f t="shared" si="5"/>
        <v>0</v>
      </c>
      <c r="G19">
        <v>28</v>
      </c>
      <c r="H19" s="31">
        <f t="shared" si="6"/>
        <v>0</v>
      </c>
    </row>
    <row r="20" spans="1:8">
      <c r="A20" t="s">
        <v>217</v>
      </c>
      <c r="B20" s="30">
        <f t="shared" si="3"/>
        <v>80</v>
      </c>
      <c r="C20" s="30">
        <v>100</v>
      </c>
      <c r="D20" s="30">
        <f t="shared" ref="D20:D23" si="7">C20*G20</f>
        <v>40000</v>
      </c>
      <c r="E20" s="31">
        <f>SUMIFS(Item!$F$2:$F$1000,Item!$A$2:$A$1000,$B$3,Item!$E$2:$E$1000,$A20)+SUMIFS(Item!$F$2:$F$1000,Item!$A$2:$A$1000,$B$4,Item!$E$2:$E$1000,$A20)+SUMIFS(Item!$F$2:$F$1000,Item!$A$2:$A$1000,$B$5,Item!$E$2:$E$1000,$A20)+SUMIFS(Item!$F$2:$F$1000,Item!$A$2:$A$1000,$B$6,Item!$E$2:$E$1000,$A20)</f>
        <v>-20</v>
      </c>
      <c r="F20" s="30">
        <f t="shared" ref="F20:F23" si="8">E20*G20</f>
        <v>-8000</v>
      </c>
      <c r="G20">
        <v>400</v>
      </c>
      <c r="H20" s="31">
        <f t="shared" ref="H20:H23" si="9">B20*G20</f>
        <v>32000</v>
      </c>
    </row>
    <row r="21" spans="1:8">
      <c r="A21" t="s">
        <v>391</v>
      </c>
      <c r="B21" s="30">
        <f t="shared" si="3"/>
        <v>4</v>
      </c>
      <c r="C21" s="30">
        <v>4</v>
      </c>
      <c r="D21" s="30">
        <f t="shared" si="7"/>
        <v>4500</v>
      </c>
      <c r="E21" s="31">
        <f>SUMIFS(Item!$F$2:$F$1000,Item!$A$2:$A$1000,$B$3,Item!$E$2:$E$1000,$A21)+SUMIFS(Item!$F$2:$F$1000,Item!$A$2:$A$1000,$B$4,Item!$E$2:$E$1000,$A21)+SUMIFS(Item!$F$2:$F$1000,Item!$A$2:$A$1000,$B$5,Item!$E$2:$E$1000,$A21)+SUMIFS(Item!$F$2:$F$1000,Item!$A$2:$A$1000,$B$6,Item!$E$2:$E$1000,$A21)</f>
        <v>0</v>
      </c>
      <c r="F21" s="30">
        <f t="shared" si="8"/>
        <v>0</v>
      </c>
      <c r="G21">
        <v>1125</v>
      </c>
      <c r="H21" s="31">
        <f t="shared" si="9"/>
        <v>4500</v>
      </c>
    </row>
    <row r="22" spans="1:8">
      <c r="A22" t="s">
        <v>459</v>
      </c>
      <c r="B22" s="30">
        <f t="shared" si="3"/>
        <v>0</v>
      </c>
      <c r="C22" s="30">
        <v>0</v>
      </c>
      <c r="D22" s="30">
        <f t="shared" si="7"/>
        <v>0</v>
      </c>
      <c r="E22" s="31">
        <f>SUMIFS(Item!$F$2:$F$1000,Item!$A$2:$A$1000,$B$3,Item!$E$2:$E$1000,$A22)+SUMIFS(Item!$F$2:$F$1000,Item!$A$2:$A$1000,$B$4,Item!$E$2:$E$1000,$A22)+SUMIFS(Item!$F$2:$F$1000,Item!$A$2:$A$1000,$B$5,Item!$E$2:$E$1000,$A22)+SUMIFS(Item!$F$2:$F$1000,Item!$A$2:$A$1000,$B$6,Item!$E$2:$E$1000,$A22)</f>
        <v>0</v>
      </c>
      <c r="F22" s="30">
        <f t="shared" si="8"/>
        <v>0</v>
      </c>
      <c r="G22">
        <v>4800</v>
      </c>
      <c r="H22" s="31">
        <f t="shared" si="9"/>
        <v>0</v>
      </c>
    </row>
    <row r="23" spans="1:8">
      <c r="A23" t="s">
        <v>460</v>
      </c>
      <c r="B23" s="30">
        <f t="shared" si="3"/>
        <v>14</v>
      </c>
      <c r="C23" s="30">
        <v>10</v>
      </c>
      <c r="D23" s="30">
        <f t="shared" si="7"/>
        <v>23260</v>
      </c>
      <c r="E23" s="31">
        <f>SUMIFS(Item!$F$2:$F$1000,Item!$A$2:$A$1000,$B$3,Item!$E$2:$E$1000,$A23)+SUMIFS(Item!$F$2:$F$1000,Item!$A$2:$A$1000,$B$4,Item!$E$2:$E$1000,$A23)+SUMIFS(Item!$F$2:$F$1000,Item!$A$2:$A$1000,$B$5,Item!$E$2:$E$1000,$A23)+SUMIFS(Item!$F$2:$F$1000,Item!$A$2:$A$1000,$B$6,Item!$E$2:$E$1000,$A23)</f>
        <v>4</v>
      </c>
      <c r="F23" s="30">
        <f t="shared" si="8"/>
        <v>9304</v>
      </c>
      <c r="G23">
        <v>2326</v>
      </c>
      <c r="H23" s="31">
        <f t="shared" si="9"/>
        <v>32564</v>
      </c>
    </row>
    <row r="24" spans="1:8">
      <c r="A24" t="s">
        <v>237</v>
      </c>
      <c r="B24" s="33">
        <f t="shared" si="3"/>
        <v>1</v>
      </c>
      <c r="C24" s="33">
        <v>1</v>
      </c>
      <c r="D24" s="30">
        <f t="shared" ref="D24:D26" si="10">C24*G24*100</f>
        <v>16800</v>
      </c>
      <c r="E24" s="34">
        <f>SUMIFS(Item!$F$2:$F$1000,Item!$A$2:$A$1000,$B$3,Item!$E$2:$E$1000,$A24)+SUMIFS(Item!$F$2:$F$1000,Item!$A$2:$A$1000,$B$4,Item!$E$2:$E$1000,$A24)+SUMIFS(Item!$F$2:$F$1000,Item!$A$2:$A$1000,$B$5,Item!$E$2:$E$1000,$A24)+SUMIFS(Item!$F$2:$F$1000,Item!$A$2:$A$1000,$B$6,Item!$E$2:$E$1000,$A24)</f>
        <v>0</v>
      </c>
      <c r="F24" s="30">
        <f t="shared" ref="F24:F26" si="11">E24*G24*100</f>
        <v>0</v>
      </c>
      <c r="G24">
        <v>168</v>
      </c>
      <c r="H24" s="31">
        <f t="shared" ref="H24:H26" si="12">B24*G24*100</f>
        <v>16800</v>
      </c>
    </row>
    <row r="25" spans="1:8">
      <c r="A25" t="s">
        <v>241</v>
      </c>
      <c r="B25" s="33">
        <f t="shared" si="3"/>
        <v>0</v>
      </c>
      <c r="C25" s="33">
        <v>0</v>
      </c>
      <c r="D25" s="30">
        <f t="shared" si="10"/>
        <v>0</v>
      </c>
      <c r="E25" s="34">
        <f>SUMIFS(Item!$F$2:$F$1000,Item!$A$2:$A$1000,$B$3,Item!$E$2:$E$1000,$A25)+SUMIFS(Item!$F$2:$F$1000,Item!$A$2:$A$1000,$B$4,Item!$E$2:$E$1000,$A25)+SUMIFS(Item!$F$2:$F$1000,Item!$A$2:$A$1000,$B$5,Item!$E$2:$E$1000,$A25)+SUMIFS(Item!$F$2:$F$1000,Item!$A$2:$A$1000,$B$6,Item!$E$2:$E$1000,$A25)</f>
        <v>0</v>
      </c>
      <c r="F25" s="30">
        <f t="shared" si="11"/>
        <v>0</v>
      </c>
      <c r="G25">
        <v>168</v>
      </c>
      <c r="H25" s="31">
        <f t="shared" si="12"/>
        <v>0</v>
      </c>
    </row>
    <row r="26" spans="1:8">
      <c r="A26" t="s">
        <v>245</v>
      </c>
      <c r="B26" s="33">
        <f t="shared" si="3"/>
        <v>0</v>
      </c>
      <c r="C26" s="33">
        <v>0</v>
      </c>
      <c r="D26" s="30">
        <f t="shared" si="10"/>
        <v>0</v>
      </c>
      <c r="E26" s="34">
        <f>SUMIFS(Item!$F$2:$F$1000,Item!$A$2:$A$1000,$B$3,Item!$E$2:$E$1000,$A26)+SUMIFS(Item!$F$2:$F$1000,Item!$A$2:$A$1000,$B$4,Item!$E$2:$E$1000,$A26)+SUMIFS(Item!$F$2:$F$1000,Item!$A$2:$A$1000,$B$5,Item!$E$2:$E$1000,$A26)+SUMIFS(Item!$F$2:$F$1000,Item!$A$2:$A$1000,$B$6,Item!$E$2:$E$1000,$A26)</f>
        <v>0</v>
      </c>
      <c r="F26" s="30">
        <f t="shared" si="11"/>
        <v>0</v>
      </c>
      <c r="G26">
        <v>233</v>
      </c>
      <c r="H26" s="31">
        <f t="shared" si="12"/>
        <v>0</v>
      </c>
    </row>
    <row r="27" spans="1:8">
      <c r="A27" s="2" t="s">
        <v>461</v>
      </c>
      <c r="B27" s="2"/>
      <c r="C27" s="2"/>
      <c r="D27" s="35">
        <f>SUM(D9:D26)</f>
        <v>156960</v>
      </c>
      <c r="E27" s="36"/>
      <c r="F27" s="35">
        <f>SUM(F9:F26)</f>
        <v>71600</v>
      </c>
      <c r="G27" s="2"/>
      <c r="H27" s="35">
        <f>SUM(H9:H26)</f>
        <v>228560</v>
      </c>
    </row>
    <row r="28" customFormat="1" spans="1:11">
      <c r="A28" t="s">
        <v>564</v>
      </c>
      <c r="D28" s="36">
        <f>'Balanced Dummy '!D18-D27</f>
        <v>0</v>
      </c>
      <c r="E28" s="36"/>
      <c r="F28" s="36"/>
      <c r="K28" s="46"/>
    </row>
    <row r="29" customFormat="1" spans="4:11">
      <c r="D29" s="36"/>
      <c r="E29" s="36"/>
      <c r="F29" s="36"/>
      <c r="K29" s="46"/>
    </row>
    <row r="30" spans="1:11">
      <c r="A30" s="37" t="s">
        <v>565</v>
      </c>
      <c r="B30" s="38" t="s">
        <v>85</v>
      </c>
      <c r="C30" s="38" t="s">
        <v>448</v>
      </c>
      <c r="D30" s="38" t="s">
        <v>449</v>
      </c>
      <c r="E30" s="38" t="s">
        <v>28</v>
      </c>
      <c r="F30" s="37" t="s">
        <v>403</v>
      </c>
      <c r="G30" s="37" t="s">
        <v>566</v>
      </c>
      <c r="H30" s="37" t="s">
        <v>114</v>
      </c>
      <c r="I30" s="38" t="s">
        <v>308</v>
      </c>
      <c r="J30" s="37" t="s">
        <v>567</v>
      </c>
      <c r="K30" s="38" t="s">
        <v>568</v>
      </c>
    </row>
    <row r="31" spans="1:11">
      <c r="A31" s="49" t="s">
        <v>619</v>
      </c>
      <c r="B31" s="49">
        <v>100</v>
      </c>
      <c r="C31" s="49">
        <f>2*1000*1.25</f>
        <v>2500</v>
      </c>
      <c r="D31" s="49">
        <v>3</v>
      </c>
      <c r="E31" s="49" t="s">
        <v>620</v>
      </c>
      <c r="F31" s="49" t="s">
        <v>571</v>
      </c>
      <c r="G31" s="49" t="s">
        <v>621</v>
      </c>
      <c r="H31" s="49"/>
      <c r="I31" s="37" t="s">
        <v>622</v>
      </c>
      <c r="J31" s="37" t="s">
        <v>623</v>
      </c>
      <c r="K31" s="37">
        <f>4.8*1000*25%*5</f>
        <v>6000</v>
      </c>
    </row>
    <row r="32" spans="1:11">
      <c r="A32" s="50"/>
      <c r="B32" s="50"/>
      <c r="C32" s="50"/>
      <c r="D32" s="50"/>
      <c r="E32" s="50"/>
      <c r="F32" s="50"/>
      <c r="G32" s="50"/>
      <c r="H32" s="50"/>
      <c r="I32" s="37" t="s">
        <v>455</v>
      </c>
      <c r="J32" s="37">
        <v>1</v>
      </c>
      <c r="K32" s="47"/>
    </row>
    <row r="33" spans="1:11">
      <c r="A33" s="51"/>
      <c r="B33" s="51"/>
      <c r="C33" s="51"/>
      <c r="D33" s="51"/>
      <c r="E33" s="51"/>
      <c r="F33" s="51"/>
      <c r="G33" s="51"/>
      <c r="H33" s="51"/>
      <c r="I33" s="39" t="s">
        <v>624</v>
      </c>
      <c r="J33" s="56">
        <v>0.5</v>
      </c>
      <c r="K33" s="48"/>
    </row>
    <row r="34" ht="66" customHeight="1" spans="1:11">
      <c r="A34" s="39" t="s">
        <v>625</v>
      </c>
      <c r="B34" s="39">
        <v>150</v>
      </c>
      <c r="C34" s="39">
        <f>2*1000*1.9</f>
        <v>3800</v>
      </c>
      <c r="D34" s="39">
        <v>8</v>
      </c>
      <c r="E34" s="39" t="s">
        <v>626</v>
      </c>
      <c r="F34" s="39" t="s">
        <v>627</v>
      </c>
      <c r="G34" s="39" t="s">
        <v>578</v>
      </c>
      <c r="H34" s="39">
        <v>4</v>
      </c>
      <c r="I34" s="39" t="s">
        <v>303</v>
      </c>
      <c r="J34" s="39" t="s">
        <v>628</v>
      </c>
      <c r="K34" s="39">
        <f>4.8*1000*8%*5</f>
        <v>1920</v>
      </c>
    </row>
    <row r="35" ht="45" spans="1:11">
      <c r="A35" s="52" t="s">
        <v>629</v>
      </c>
      <c r="B35" s="52" t="s">
        <v>630</v>
      </c>
      <c r="C35" s="52">
        <f>2*1000*0.4</f>
        <v>800</v>
      </c>
      <c r="D35" s="52">
        <v>2</v>
      </c>
      <c r="E35" s="52" t="s">
        <v>631</v>
      </c>
      <c r="F35" s="52" t="s">
        <v>632</v>
      </c>
      <c r="G35" s="52" t="s">
        <v>632</v>
      </c>
      <c r="H35" s="52">
        <v>2</v>
      </c>
      <c r="I35" s="39" t="s">
        <v>303</v>
      </c>
      <c r="J35" s="39" t="s">
        <v>628</v>
      </c>
      <c r="K35" s="39">
        <f>4.8*1000*8%*5</f>
        <v>1920</v>
      </c>
    </row>
    <row r="36" spans="1:11">
      <c r="A36" s="53"/>
      <c r="B36" s="53"/>
      <c r="C36" s="53"/>
      <c r="D36" s="53"/>
      <c r="E36" s="53"/>
      <c r="F36" s="53"/>
      <c r="G36" s="53"/>
      <c r="H36" s="53"/>
      <c r="I36" s="39" t="s">
        <v>589</v>
      </c>
      <c r="J36" s="39" t="s">
        <v>633</v>
      </c>
      <c r="K36" s="57">
        <f>2%*5</f>
        <v>0.1</v>
      </c>
    </row>
    <row r="37" ht="30" spans="1:11">
      <c r="A37" s="52" t="s">
        <v>634</v>
      </c>
      <c r="B37" s="52" t="s">
        <v>635</v>
      </c>
      <c r="C37" s="52"/>
      <c r="D37" s="52"/>
      <c r="E37" s="52" t="s">
        <v>636</v>
      </c>
      <c r="F37" s="52"/>
      <c r="G37" s="52"/>
      <c r="H37" s="52"/>
      <c r="I37" s="39" t="s">
        <v>637</v>
      </c>
      <c r="J37" s="39" t="s">
        <v>638</v>
      </c>
      <c r="K37" s="57">
        <f t="shared" ref="K37:K41" si="13">8%*5</f>
        <v>0.4</v>
      </c>
    </row>
    <row r="38" spans="1:11">
      <c r="A38" s="54"/>
      <c r="B38" s="54"/>
      <c r="C38" s="54"/>
      <c r="D38" s="54"/>
      <c r="E38" s="54"/>
      <c r="F38" s="54"/>
      <c r="G38" s="54"/>
      <c r="H38" s="54"/>
      <c r="I38" s="39" t="s">
        <v>639</v>
      </c>
      <c r="J38" s="56">
        <v>1.5</v>
      </c>
      <c r="K38" s="58">
        <v>1.5</v>
      </c>
    </row>
    <row r="39" spans="1:11">
      <c r="A39" s="54"/>
      <c r="B39" s="54"/>
      <c r="C39" s="54"/>
      <c r="D39" s="54"/>
      <c r="E39" s="54"/>
      <c r="F39" s="54"/>
      <c r="G39" s="54"/>
      <c r="H39" s="54"/>
      <c r="I39" s="39" t="s">
        <v>640</v>
      </c>
      <c r="J39" s="39" t="s">
        <v>638</v>
      </c>
      <c r="K39" s="57">
        <f t="shared" si="13"/>
        <v>0.4</v>
      </c>
    </row>
    <row r="40" spans="1:11">
      <c r="A40" s="53"/>
      <c r="B40" s="53"/>
      <c r="C40" s="53"/>
      <c r="D40" s="53"/>
      <c r="E40" s="53"/>
      <c r="F40" s="53"/>
      <c r="G40" s="53"/>
      <c r="H40" s="53"/>
      <c r="I40" s="39" t="s">
        <v>641</v>
      </c>
      <c r="J40" s="56">
        <v>0.72</v>
      </c>
      <c r="K40" s="58">
        <v>0.72</v>
      </c>
    </row>
    <row r="41" ht="90" spans="1:11">
      <c r="A41" s="52" t="s">
        <v>642</v>
      </c>
      <c r="B41" s="52" t="s">
        <v>635</v>
      </c>
      <c r="C41" s="52">
        <v>0</v>
      </c>
      <c r="D41" s="52" t="s">
        <v>643</v>
      </c>
      <c r="E41" s="52" t="s">
        <v>644</v>
      </c>
      <c r="F41" s="52" t="s">
        <v>645</v>
      </c>
      <c r="G41" s="52" t="s">
        <v>645</v>
      </c>
      <c r="H41" s="52">
        <v>4</v>
      </c>
      <c r="I41" s="39" t="s">
        <v>646</v>
      </c>
      <c r="J41" s="39" t="s">
        <v>586</v>
      </c>
      <c r="K41" s="57">
        <f t="shared" si="13"/>
        <v>0.4</v>
      </c>
    </row>
    <row r="42" spans="1:11">
      <c r="A42" s="54"/>
      <c r="B42" s="54"/>
      <c r="C42" s="54"/>
      <c r="D42" s="54"/>
      <c r="E42" s="54"/>
      <c r="F42" s="54"/>
      <c r="G42" s="54"/>
      <c r="H42" s="54"/>
      <c r="I42" s="39" t="s">
        <v>647</v>
      </c>
      <c r="J42" s="56">
        <v>2.3</v>
      </c>
      <c r="K42" s="56">
        <v>2.3</v>
      </c>
    </row>
    <row r="43" spans="1:11">
      <c r="A43" s="54"/>
      <c r="B43" s="54"/>
      <c r="C43" s="54"/>
      <c r="D43" s="54"/>
      <c r="E43" s="54"/>
      <c r="F43" s="54"/>
      <c r="G43" s="54"/>
      <c r="H43" s="54"/>
      <c r="I43" s="39" t="s">
        <v>648</v>
      </c>
      <c r="J43" s="39" t="s">
        <v>586</v>
      </c>
      <c r="K43" s="57">
        <f>8%*5</f>
        <v>0.4</v>
      </c>
    </row>
    <row r="44" spans="1:11">
      <c r="A44" s="53"/>
      <c r="B44" s="53"/>
      <c r="C44" s="53"/>
      <c r="D44" s="53"/>
      <c r="E44" s="53"/>
      <c r="F44" s="53"/>
      <c r="G44" s="53"/>
      <c r="H44" s="53"/>
      <c r="I44" s="39" t="s">
        <v>649</v>
      </c>
      <c r="J44" s="56">
        <v>4.78</v>
      </c>
      <c r="K44" s="56">
        <v>4.78</v>
      </c>
    </row>
    <row r="46" ht="45" spans="1:8">
      <c r="A46" s="40" t="s">
        <v>591</v>
      </c>
      <c r="B46" s="40" t="s">
        <v>650</v>
      </c>
      <c r="C46" s="40" t="s">
        <v>651</v>
      </c>
      <c r="D46" s="41" t="s">
        <v>652</v>
      </c>
      <c r="E46" s="41" t="s">
        <v>653</v>
      </c>
      <c r="F46" s="41" t="s">
        <v>654</v>
      </c>
      <c r="G46" s="41" t="s">
        <v>655</v>
      </c>
      <c r="H46" s="41" t="s">
        <v>656</v>
      </c>
    </row>
    <row r="47" ht="30" spans="1:8">
      <c r="A47" s="42"/>
      <c r="B47" s="42"/>
      <c r="C47" s="42"/>
      <c r="D47" s="41"/>
      <c r="E47" s="41" t="s">
        <v>657</v>
      </c>
      <c r="F47" s="41" t="s">
        <v>658</v>
      </c>
      <c r="G47" s="41" t="s">
        <v>659</v>
      </c>
      <c r="H47" s="41" t="s">
        <v>660</v>
      </c>
    </row>
    <row r="48" spans="1:8">
      <c r="A48" s="43"/>
      <c r="B48" s="43"/>
      <c r="C48" s="43"/>
      <c r="D48" s="43"/>
      <c r="E48" s="43"/>
      <c r="F48" s="43"/>
      <c r="G48" s="43"/>
      <c r="H48" s="43"/>
    </row>
    <row r="49" ht="45" spans="1:9">
      <c r="A49" s="39" t="s">
        <v>603</v>
      </c>
      <c r="B49" s="39" t="s">
        <v>661</v>
      </c>
      <c r="C49" s="39" t="s">
        <v>662</v>
      </c>
      <c r="D49" s="39" t="s">
        <v>663</v>
      </c>
      <c r="E49" s="39" t="s">
        <v>664</v>
      </c>
      <c r="F49" s="39" t="s">
        <v>665</v>
      </c>
      <c r="G49" s="39" t="s">
        <v>666</v>
      </c>
      <c r="H49" s="39" t="s">
        <v>667</v>
      </c>
      <c r="I49" s="55" t="s">
        <v>668</v>
      </c>
    </row>
    <row r="50" ht="45" spans="1:9">
      <c r="A50" s="39"/>
      <c r="B50" s="39"/>
      <c r="C50" s="39"/>
      <c r="D50" s="39"/>
      <c r="E50" s="55" t="s">
        <v>669</v>
      </c>
      <c r="F50" s="39" t="s">
        <v>670</v>
      </c>
      <c r="G50" s="55" t="s">
        <v>671</v>
      </c>
      <c r="H50" s="39"/>
      <c r="I50" s="59"/>
    </row>
  </sheetData>
  <mergeCells count="36">
    <mergeCell ref="A31:A33"/>
    <mergeCell ref="A35:A36"/>
    <mergeCell ref="A37:A40"/>
    <mergeCell ref="A41:A44"/>
    <mergeCell ref="A46:A47"/>
    <mergeCell ref="B31:B33"/>
    <mergeCell ref="B35:B36"/>
    <mergeCell ref="B37:B40"/>
    <mergeCell ref="B41:B44"/>
    <mergeCell ref="B46:B47"/>
    <mergeCell ref="C31:C33"/>
    <mergeCell ref="C35:C36"/>
    <mergeCell ref="C37:C40"/>
    <mergeCell ref="C41:C44"/>
    <mergeCell ref="C46:C47"/>
    <mergeCell ref="D31:D33"/>
    <mergeCell ref="D35:D36"/>
    <mergeCell ref="D37:D40"/>
    <mergeCell ref="D41:D44"/>
    <mergeCell ref="D46:D47"/>
    <mergeCell ref="E31:E33"/>
    <mergeCell ref="E35:E36"/>
    <mergeCell ref="E37:E40"/>
    <mergeCell ref="E41:E44"/>
    <mergeCell ref="F31:F33"/>
    <mergeCell ref="F35:F36"/>
    <mergeCell ref="F37:F40"/>
    <mergeCell ref="F41:F44"/>
    <mergeCell ref="G31:G33"/>
    <mergeCell ref="G35:G36"/>
    <mergeCell ref="G37:G40"/>
    <mergeCell ref="G41:G44"/>
    <mergeCell ref="H31:H33"/>
    <mergeCell ref="H35:H36"/>
    <mergeCell ref="H37:H40"/>
    <mergeCell ref="H41:H44"/>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3"/>
  <sheetViews>
    <sheetView topLeftCell="A28" workbookViewId="0">
      <selection activeCell="C26" sqref="C26"/>
    </sheetView>
  </sheetViews>
  <sheetFormatPr defaultColWidth="9.14285714285714" defaultRowHeight="15"/>
  <cols>
    <col min="1" max="1" width="22.5714285714286" customWidth="1"/>
    <col min="2" max="2" width="19.5714285714286" customWidth="1"/>
    <col min="3" max="3" width="26.4285714285714" customWidth="1"/>
    <col min="4" max="4" width="18.8571428571429" customWidth="1"/>
    <col min="5" max="5" width="34.8571428571429" customWidth="1"/>
    <col min="6" max="6" width="23.4285714285714" customWidth="1"/>
    <col min="7" max="7" width="27" customWidth="1"/>
    <col min="8" max="8" width="34" customWidth="1"/>
    <col min="9" max="9" width="14.7142857142857" customWidth="1"/>
    <col min="10" max="10" width="15.4285714285714" customWidth="1"/>
    <col min="11" max="11" width="11" customWidth="1"/>
  </cols>
  <sheetData>
    <row r="1" spans="1:2">
      <c r="A1" t="s">
        <v>552</v>
      </c>
      <c r="B1" t="s">
        <v>672</v>
      </c>
    </row>
    <row r="2" spans="1:2">
      <c r="A2" t="s">
        <v>554</v>
      </c>
      <c r="B2" t="s">
        <v>673</v>
      </c>
    </row>
    <row r="3" spans="1:2">
      <c r="A3" t="s">
        <v>556</v>
      </c>
      <c r="B3" s="26" t="s">
        <v>674</v>
      </c>
    </row>
    <row r="4" spans="1:2">
      <c r="A4" t="s">
        <v>558</v>
      </c>
      <c r="B4" t="s">
        <v>675</v>
      </c>
    </row>
    <row r="5" spans="1:2">
      <c r="A5" t="s">
        <v>560</v>
      </c>
      <c r="B5" t="s">
        <v>560</v>
      </c>
    </row>
    <row r="6" spans="1:2">
      <c r="A6" t="s">
        <v>561</v>
      </c>
      <c r="B6" t="s">
        <v>561</v>
      </c>
    </row>
    <row r="8" spans="1:8">
      <c r="A8" s="27" t="s">
        <v>439</v>
      </c>
      <c r="B8" s="28" t="s">
        <v>440</v>
      </c>
      <c r="C8" s="28" t="s">
        <v>441</v>
      </c>
      <c r="D8" s="28" t="s">
        <v>562</v>
      </c>
      <c r="E8" s="29" t="s">
        <v>443</v>
      </c>
      <c r="F8" s="27" t="s">
        <v>444</v>
      </c>
      <c r="G8" s="27" t="s">
        <v>445</v>
      </c>
      <c r="H8" s="27" t="s">
        <v>446</v>
      </c>
    </row>
    <row r="9" spans="1:8">
      <c r="A9" t="s">
        <v>190</v>
      </c>
      <c r="B9" s="30">
        <f>SUM(C9,E9)</f>
        <v>36250</v>
      </c>
      <c r="C9" s="30">
        <v>18000</v>
      </c>
      <c r="D9" s="30">
        <f>C9*G9</f>
        <v>18000</v>
      </c>
      <c r="E9" s="31">
        <f>SUMIFS(Item!$F$2:$F$1000,Item!$A$2:$A$1000,$B$3,Item!$E$2:$E$1000,$A9)+SUMIFS(Item!$F$2:$F$1000,Item!$A$2:$A$1000,$B$4,Item!$E$2:$E$1000,$A9)+SUMIFS(Item!$F$2:$F$1000,Item!$A$2:$A$1000,$B$5,Item!$E$2:$E$1000,$A9)+SUMIFS(Item!$F$2:$F$1000,Item!$A$2:$A$1000,$B$6,Item!$E$2:$E$1000,$A9)</f>
        <v>18250</v>
      </c>
      <c r="F9" s="30">
        <f t="shared" ref="F9:F13" si="0">E9*G9</f>
        <v>18250</v>
      </c>
      <c r="G9">
        <v>1</v>
      </c>
      <c r="H9" s="31">
        <f t="shared" ref="H9:H13" si="1">B9*G9</f>
        <v>36250</v>
      </c>
    </row>
    <row r="10" spans="1:8">
      <c r="A10" t="s">
        <v>195</v>
      </c>
      <c r="B10" s="30">
        <f>SUM(C10,E10)</f>
        <v>27350</v>
      </c>
      <c r="C10" s="30">
        <v>18400</v>
      </c>
      <c r="D10" s="30">
        <f>C10*G10</f>
        <v>18400</v>
      </c>
      <c r="E10" s="31">
        <f>SUMIFS(Item!$F$2:$F$1000,Item!$A$2:$A$1000,$B$3,Item!$E$2:$E$1000,$A10)+SUMIFS(Item!$F$2:$F$1000,Item!$A$2:$A$1000,$B$4,Item!$E$2:$E$1000,$A10)+SUMIFS(Item!$F$2:$F$1000,Item!$A$2:$A$1000,$B$5,Item!$E$2:$E$1000,$A10)+SUMIFS(Item!$F$2:$F$1000,Item!$A$2:$A$1000,$B$6,Item!$E$2:$E$1000,$A10)</f>
        <v>8950</v>
      </c>
      <c r="F10" s="30">
        <f t="shared" si="0"/>
        <v>8950</v>
      </c>
      <c r="G10">
        <v>1</v>
      </c>
      <c r="H10" s="31">
        <f t="shared" si="1"/>
        <v>27350</v>
      </c>
    </row>
    <row r="11" spans="1:8">
      <c r="A11" t="s">
        <v>198</v>
      </c>
      <c r="B11" s="30">
        <f>SUM(C11,E11)</f>
        <v>2909.5238095238</v>
      </c>
      <c r="C11" s="30">
        <f>6840/G11</f>
        <v>814.285714285714</v>
      </c>
      <c r="D11" s="30">
        <f>C11*G11</f>
        <v>6840</v>
      </c>
      <c r="E11" s="31">
        <f>SUMIFS(Item!$F$2:$F$1000,Item!$A$2:$A$1000,$B$3,Item!$E$2:$E$1000,$A11)+SUMIFS(Item!$F$2:$F$1000,Item!$A$2:$A$1000,$B$4,Item!$E$2:$E$1000,$A11)+SUMIFS(Item!$F$2:$F$1000,Item!$A$2:$A$1000,$B$5,Item!$E$2:$E$1000,$A11)+SUMIFS(Item!$F$2:$F$1000,Item!$A$2:$A$1000,$B$6,Item!$E$2:$E$1000,$A11)</f>
        <v>2095.23809523809</v>
      </c>
      <c r="F11" s="30">
        <f t="shared" si="0"/>
        <v>17600</v>
      </c>
      <c r="G11">
        <v>8.4</v>
      </c>
      <c r="H11" s="31">
        <f t="shared" si="1"/>
        <v>24440</v>
      </c>
    </row>
    <row r="12" spans="1:11">
      <c r="A12" t="s">
        <v>202</v>
      </c>
      <c r="B12" s="30">
        <f>SUM(C12,E12)</f>
        <v>870</v>
      </c>
      <c r="C12" s="30">
        <v>370</v>
      </c>
      <c r="D12" s="30">
        <f>C12*G12</f>
        <v>2072</v>
      </c>
      <c r="E12" s="31">
        <f>SUMIFS(Item!$F$2:$F$1000,Item!$A$2:$A$1000,$B$3,Item!$E$2:$E$1000,$A12)+SUMIFS(Item!$F$2:$F$1000,Item!$A$2:$A$1000,$B$4,Item!$E$2:$E$1000,$A12)+SUMIFS(Item!$F$2:$F$1000,Item!$A$2:$A$1000,$B$5,Item!$E$2:$E$1000,$A12)+SUMIFS(Item!$F$2:$F$1000,Item!$A$2:$A$1000,$B$6,Item!$E$2:$E$1000,$A12)</f>
        <v>500</v>
      </c>
      <c r="F12" s="30">
        <f t="shared" si="0"/>
        <v>2800</v>
      </c>
      <c r="G12">
        <v>5.6</v>
      </c>
      <c r="H12" s="31">
        <f t="shared" si="1"/>
        <v>4872</v>
      </c>
      <c r="K12" s="32"/>
    </row>
    <row r="13" spans="1:8">
      <c r="A13" t="s">
        <v>210</v>
      </c>
      <c r="B13" s="30">
        <f>SUM(C13,E13)</f>
        <v>880</v>
      </c>
      <c r="C13" s="30">
        <v>380</v>
      </c>
      <c r="D13" s="30">
        <f>C13*G13</f>
        <v>4408</v>
      </c>
      <c r="E13" s="31">
        <f>SUMIFS(Item!$F$2:$F$1000,Item!$A$2:$A$1000,$B$3,Item!$E$2:$E$1000,$A13)+SUMIFS(Item!$F$2:$F$1000,Item!$A$2:$A$1000,$B$4,Item!$E$2:$E$1000,$A13)+SUMIFS(Item!$F$2:$F$1000,Item!$A$2:$A$1000,$B$5,Item!$E$2:$E$1000,$A13)+SUMIFS(Item!$F$2:$F$1000,Item!$A$2:$A$1000,$B$6,Item!$E$2:$E$1000,$A13)</f>
        <v>500</v>
      </c>
      <c r="F13" s="30">
        <f t="shared" si="0"/>
        <v>5800</v>
      </c>
      <c r="G13">
        <v>11.6</v>
      </c>
      <c r="H13" s="31">
        <f t="shared" si="1"/>
        <v>10208</v>
      </c>
    </row>
    <row r="14" customFormat="1" spans="1:10">
      <c r="A14" t="s">
        <v>288</v>
      </c>
      <c r="B14" s="32">
        <f>B12/(B12+1000)</f>
        <v>0.46524064171123</v>
      </c>
      <c r="C14" s="30"/>
      <c r="D14" s="30"/>
      <c r="E14" s="31"/>
      <c r="F14" s="30"/>
      <c r="H14" s="31"/>
      <c r="J14" s="32"/>
    </row>
    <row r="15" customFormat="1" spans="1:10">
      <c r="A15" t="s">
        <v>563</v>
      </c>
      <c r="B15" s="32">
        <f>B13/(B13+1000)</f>
        <v>0.468085106382979</v>
      </c>
      <c r="C15" s="30"/>
      <c r="D15" s="30"/>
      <c r="E15" s="31"/>
      <c r="F15" s="30"/>
      <c r="H15" s="31"/>
      <c r="J15" s="32"/>
    </row>
    <row r="16" spans="1:8">
      <c r="A16" t="s">
        <v>233</v>
      </c>
      <c r="B16" s="33">
        <f t="shared" ref="B16:B26" si="2">SUM(C16,E16)</f>
        <v>1.9</v>
      </c>
      <c r="C16" s="33">
        <v>1.2</v>
      </c>
      <c r="D16" s="30">
        <f t="shared" ref="D16:D19" si="3">C16*G16*100</f>
        <v>16800</v>
      </c>
      <c r="E16" s="34">
        <f>SUMIFS(Item!$F$2:$F$1000,Item!$A$2:$A$1000,$B$3,Item!$E$2:$E$1000,$A16)+SUMIFS(Item!$F$2:$F$1000,Item!$A$2:$A$1000,$B$4,Item!$E$2:$E$1000,$A16)+SUMIFS(Item!$F$2:$F$1000,Item!$A$2:$A$1000,$B$5,Item!$E$2:$E$1000,$A16)+SUMIFS(Item!$F$2:$F$1000,Item!$A$2:$A$1000,$B$6,Item!$E$2:$E$1000,$A16)</f>
        <v>0.7</v>
      </c>
      <c r="F16" s="30">
        <f t="shared" ref="F16:F19" si="4">E16*G16*100</f>
        <v>9800</v>
      </c>
      <c r="G16">
        <v>140</v>
      </c>
      <c r="H16" s="31">
        <f t="shared" ref="H16:H19" si="5">B16*G16*100</f>
        <v>26600</v>
      </c>
    </row>
    <row r="17" spans="1:8">
      <c r="A17" t="s">
        <v>457</v>
      </c>
      <c r="B17" s="33">
        <f t="shared" si="2"/>
        <v>0</v>
      </c>
      <c r="C17" s="33">
        <v>0</v>
      </c>
      <c r="D17" s="30">
        <f t="shared" si="3"/>
        <v>0</v>
      </c>
      <c r="E17" s="34">
        <f>SUMIFS(Item!$F$2:$F$1000,Item!$A$2:$A$1000,$B$3,Item!$E$2:$E$1000,$A17)+SUMIFS(Item!$F$2:$F$1000,Item!$A$2:$A$1000,$B$4,Item!$E$2:$E$1000,$A17)+SUMIFS(Item!$F$2:$F$1000,Item!$A$2:$A$1000,$B$5,Item!$E$2:$E$1000,$A17)+SUMIFS(Item!$F$2:$F$1000,Item!$A$2:$A$1000,$B$6,Item!$E$2:$E$1000,$A17)</f>
        <v>0</v>
      </c>
      <c r="F17" s="30">
        <f t="shared" si="4"/>
        <v>0</v>
      </c>
      <c r="G17">
        <v>140</v>
      </c>
      <c r="H17" s="31">
        <f t="shared" si="5"/>
        <v>0</v>
      </c>
    </row>
    <row r="18" spans="1:8">
      <c r="A18" t="s">
        <v>224</v>
      </c>
      <c r="B18" s="33">
        <f t="shared" si="2"/>
        <v>0.6</v>
      </c>
      <c r="C18" s="33">
        <v>0.2</v>
      </c>
      <c r="D18" s="30">
        <f t="shared" si="3"/>
        <v>2800</v>
      </c>
      <c r="E18" s="34">
        <f>SUMIFS(Item!$F$2:$F$1000,Item!$A$2:$A$1000,$B$3,Item!$E$2:$E$1000,$A18)+SUMIFS(Item!$F$2:$F$1000,Item!$A$2:$A$1000,$B$4,Item!$E$2:$E$1000,$A18)+SUMIFS(Item!$F$2:$F$1000,Item!$A$2:$A$1000,$B$5,Item!$E$2:$E$1000,$A18)+SUMIFS(Item!$F$2:$F$1000,Item!$A$2:$A$1000,$B$6,Item!$E$2:$E$1000,$A18)</f>
        <v>0.4</v>
      </c>
      <c r="F18" s="30">
        <f t="shared" si="4"/>
        <v>5600</v>
      </c>
      <c r="G18">
        <v>140</v>
      </c>
      <c r="H18" s="31">
        <f t="shared" si="5"/>
        <v>8400</v>
      </c>
    </row>
    <row r="19" spans="1:8">
      <c r="A19" t="s">
        <v>229</v>
      </c>
      <c r="B19" s="33">
        <f t="shared" si="2"/>
        <v>1.5</v>
      </c>
      <c r="C19" s="33">
        <v>0.5</v>
      </c>
      <c r="D19" s="30">
        <f t="shared" si="3"/>
        <v>1400</v>
      </c>
      <c r="E19" s="34">
        <f>SUMIFS(Item!$F$2:$F$1000,Item!$A$2:$A$1000,$B$3,Item!$E$2:$E$1000,$A19)+SUMIFS(Item!$F$2:$F$1000,Item!$A$2:$A$1000,$B$4,Item!$E$2:$E$1000,$A19)+SUMIFS(Item!$F$2:$F$1000,Item!$A$2:$A$1000,$B$5,Item!$E$2:$E$1000,$A19)+SUMIFS(Item!$F$2:$F$1000,Item!$A$2:$A$1000,$B$6,Item!$E$2:$E$1000,$A19)</f>
        <v>1</v>
      </c>
      <c r="F19" s="30">
        <f t="shared" si="4"/>
        <v>2800</v>
      </c>
      <c r="G19">
        <v>28</v>
      </c>
      <c r="H19" s="31">
        <f t="shared" si="5"/>
        <v>4200</v>
      </c>
    </row>
    <row r="20" spans="1:8">
      <c r="A20" t="s">
        <v>217</v>
      </c>
      <c r="B20" s="30">
        <f t="shared" si="2"/>
        <v>100</v>
      </c>
      <c r="C20" s="30">
        <v>100</v>
      </c>
      <c r="D20" s="30">
        <f t="shared" ref="D20:D23" si="6">C20*G20</f>
        <v>40000</v>
      </c>
      <c r="E20" s="31">
        <f>SUMIFS(Item!$F$2:$F$1000,Item!$A$2:$A$1000,$B$3,Item!$E$2:$E$1000,$A20)+SUMIFS(Item!$F$2:$F$1000,Item!$A$2:$A$1000,$B$4,Item!$E$2:$E$1000,$A20)+SUMIFS(Item!$F$2:$F$1000,Item!$A$2:$A$1000,$B$5,Item!$E$2:$E$1000,$A20)+SUMIFS(Item!$F$2:$F$1000,Item!$A$2:$A$1000,$B$6,Item!$E$2:$E$1000,$A20)</f>
        <v>0</v>
      </c>
      <c r="F20" s="30">
        <f t="shared" ref="F20:F23" si="7">E20*G20</f>
        <v>0</v>
      </c>
      <c r="G20">
        <v>400</v>
      </c>
      <c r="H20" s="31">
        <f t="shared" ref="H20:H23" si="8">B20*G20</f>
        <v>40000</v>
      </c>
    </row>
    <row r="21" spans="1:8">
      <c r="A21" t="s">
        <v>391</v>
      </c>
      <c r="B21" s="30">
        <f t="shared" si="2"/>
        <v>4</v>
      </c>
      <c r="C21" s="30">
        <v>4</v>
      </c>
      <c r="D21" s="30">
        <f t="shared" si="6"/>
        <v>4500</v>
      </c>
      <c r="E21" s="31">
        <f>SUMIFS(Item!$F$2:$F$1000,Item!$A$2:$A$1000,$B$3,Item!$E$2:$E$1000,$A21)+SUMIFS(Item!$F$2:$F$1000,Item!$A$2:$A$1000,$B$4,Item!$E$2:$E$1000,$A21)+SUMIFS(Item!$F$2:$F$1000,Item!$A$2:$A$1000,$B$5,Item!$E$2:$E$1000,$A21)+SUMIFS(Item!$F$2:$F$1000,Item!$A$2:$A$1000,$B$6,Item!$E$2:$E$1000,$A21)</f>
        <v>0</v>
      </c>
      <c r="F21" s="30">
        <f t="shared" si="7"/>
        <v>0</v>
      </c>
      <c r="G21">
        <v>1125</v>
      </c>
      <c r="H21" s="31">
        <f t="shared" si="8"/>
        <v>4500</v>
      </c>
    </row>
    <row r="22" spans="1:8">
      <c r="A22" t="s">
        <v>459</v>
      </c>
      <c r="B22" s="30">
        <f t="shared" si="2"/>
        <v>0</v>
      </c>
      <c r="C22" s="30">
        <v>0</v>
      </c>
      <c r="D22" s="30">
        <f t="shared" si="6"/>
        <v>0</v>
      </c>
      <c r="E22" s="31">
        <f>SUMIFS(Item!$F$2:$F$1000,Item!$A$2:$A$1000,$B$3,Item!$E$2:$E$1000,$A22)+SUMIFS(Item!$F$2:$F$1000,Item!$A$2:$A$1000,$B$4,Item!$E$2:$E$1000,$A22)+SUMIFS(Item!$F$2:$F$1000,Item!$A$2:$A$1000,$B$5,Item!$E$2:$E$1000,$A22)+SUMIFS(Item!$F$2:$F$1000,Item!$A$2:$A$1000,$B$6,Item!$E$2:$E$1000,$A22)</f>
        <v>0</v>
      </c>
      <c r="F22" s="30">
        <f t="shared" si="7"/>
        <v>0</v>
      </c>
      <c r="G22">
        <v>4800</v>
      </c>
      <c r="H22" s="31">
        <f t="shared" si="8"/>
        <v>0</v>
      </c>
    </row>
    <row r="23" spans="1:8">
      <c r="A23" t="s">
        <v>460</v>
      </c>
      <c r="B23" s="30">
        <f t="shared" si="2"/>
        <v>10</v>
      </c>
      <c r="C23" s="30">
        <v>10</v>
      </c>
      <c r="D23" s="30">
        <f t="shared" si="6"/>
        <v>23260</v>
      </c>
      <c r="E23" s="31">
        <f>SUMIFS(Item!$F$2:$F$1000,Item!$A$2:$A$1000,$B$3,Item!$E$2:$E$1000,$A23)+SUMIFS(Item!$F$2:$F$1000,Item!$A$2:$A$1000,$B$4,Item!$E$2:$E$1000,$A23)+SUMIFS(Item!$F$2:$F$1000,Item!$A$2:$A$1000,$B$5,Item!$E$2:$E$1000,$A23)+SUMIFS(Item!$F$2:$F$1000,Item!$A$2:$A$1000,$B$6,Item!$E$2:$E$1000,$A23)</f>
        <v>0</v>
      </c>
      <c r="F23" s="30">
        <f t="shared" si="7"/>
        <v>0</v>
      </c>
      <c r="G23">
        <v>2326</v>
      </c>
      <c r="H23" s="31">
        <f t="shared" si="8"/>
        <v>23260</v>
      </c>
    </row>
    <row r="24" spans="1:8">
      <c r="A24" t="s">
        <v>237</v>
      </c>
      <c r="B24" s="33">
        <f t="shared" si="2"/>
        <v>1</v>
      </c>
      <c r="C24" s="33">
        <v>1</v>
      </c>
      <c r="D24" s="30">
        <f t="shared" ref="D24:D26" si="9">C24*G24*100</f>
        <v>16800</v>
      </c>
      <c r="E24" s="34">
        <f>SUMIFS(Item!$F$2:$F$1000,Item!$A$2:$A$1000,$B$3,Item!$E$2:$E$1000,$A24)+SUMIFS(Item!$F$2:$F$1000,Item!$A$2:$A$1000,$B$4,Item!$E$2:$E$1000,$A24)+SUMIFS(Item!$F$2:$F$1000,Item!$A$2:$A$1000,$B$5,Item!$E$2:$E$1000,$A24)+SUMIFS(Item!$F$2:$F$1000,Item!$A$2:$A$1000,$B$6,Item!$E$2:$E$1000,$A24)</f>
        <v>0</v>
      </c>
      <c r="F24" s="30">
        <f t="shared" ref="F24:F26" si="10">E24*G24*100</f>
        <v>0</v>
      </c>
      <c r="G24">
        <v>168</v>
      </c>
      <c r="H24" s="31">
        <f t="shared" ref="H24:H26" si="11">B24*G24*100</f>
        <v>16800</v>
      </c>
    </row>
    <row r="25" spans="1:8">
      <c r="A25" t="s">
        <v>241</v>
      </c>
      <c r="B25" s="33">
        <f t="shared" si="2"/>
        <v>0.1</v>
      </c>
      <c r="C25" s="33">
        <v>0.1</v>
      </c>
      <c r="D25" s="30">
        <f t="shared" si="9"/>
        <v>1680</v>
      </c>
      <c r="E25" s="34">
        <f>SUMIFS(Item!$F$2:$F$1000,Item!$A$2:$A$1000,$B$3,Item!$E$2:$E$1000,$A25)+SUMIFS(Item!$F$2:$F$1000,Item!$A$2:$A$1000,$B$4,Item!$E$2:$E$1000,$A25)+SUMIFS(Item!$F$2:$F$1000,Item!$A$2:$A$1000,$B$5,Item!$E$2:$E$1000,$A25)+SUMIFS(Item!$F$2:$F$1000,Item!$A$2:$A$1000,$B$6,Item!$E$2:$E$1000,$A25)</f>
        <v>0</v>
      </c>
      <c r="F25" s="30">
        <f t="shared" si="10"/>
        <v>0</v>
      </c>
      <c r="G25">
        <v>168</v>
      </c>
      <c r="H25" s="31">
        <f t="shared" si="11"/>
        <v>1680</v>
      </c>
    </row>
    <row r="26" spans="1:8">
      <c r="A26" t="s">
        <v>245</v>
      </c>
      <c r="B26" s="33">
        <f t="shared" si="2"/>
        <v>0</v>
      </c>
      <c r="C26" s="33">
        <v>0</v>
      </c>
      <c r="D26" s="30">
        <f t="shared" si="9"/>
        <v>0</v>
      </c>
      <c r="E26" s="34">
        <f>SUMIFS(Item!$F$2:$F$1000,Item!$A$2:$A$1000,$B$3,Item!$E$2:$E$1000,$A26)+SUMIFS(Item!$F$2:$F$1000,Item!$A$2:$A$1000,$B$4,Item!$E$2:$E$1000,$A26)+SUMIFS(Item!$F$2:$F$1000,Item!$A$2:$A$1000,$B$5,Item!$E$2:$E$1000,$A26)+SUMIFS(Item!$F$2:$F$1000,Item!$A$2:$A$1000,$B$6,Item!$E$2:$E$1000,$A26)</f>
        <v>0</v>
      </c>
      <c r="F26" s="30">
        <f t="shared" si="10"/>
        <v>0</v>
      </c>
      <c r="G26">
        <v>233</v>
      </c>
      <c r="H26" s="31">
        <f t="shared" si="11"/>
        <v>0</v>
      </c>
    </row>
    <row r="27" spans="1:8">
      <c r="A27" s="2" t="s">
        <v>461</v>
      </c>
      <c r="B27" s="2"/>
      <c r="C27" s="2"/>
      <c r="D27" s="35">
        <f>SUM(D9:D26)</f>
        <v>156960</v>
      </c>
      <c r="E27" s="36"/>
      <c r="F27" s="35">
        <f>SUM(F9:F26)</f>
        <v>71600</v>
      </c>
      <c r="G27" s="2"/>
      <c r="H27" s="35">
        <f>SUM(H9:H26)</f>
        <v>228560</v>
      </c>
    </row>
    <row r="28" customFormat="1" spans="1:11">
      <c r="A28" t="s">
        <v>564</v>
      </c>
      <c r="D28" s="36">
        <f>'Balanced Dummy '!D18-D27</f>
        <v>0</v>
      </c>
      <c r="E28" s="36"/>
      <c r="F28" s="36"/>
      <c r="K28" s="46"/>
    </row>
    <row r="29" customFormat="1" spans="4:11">
      <c r="D29" s="36"/>
      <c r="E29" s="36"/>
      <c r="F29" s="36"/>
      <c r="K29" s="46"/>
    </row>
    <row r="30" spans="1:11">
      <c r="A30" s="37" t="s">
        <v>565</v>
      </c>
      <c r="B30" s="38" t="s">
        <v>85</v>
      </c>
      <c r="C30" s="38" t="s">
        <v>448</v>
      </c>
      <c r="D30" s="38" t="s">
        <v>449</v>
      </c>
      <c r="E30" s="38" t="s">
        <v>28</v>
      </c>
      <c r="F30" s="37" t="s">
        <v>403</v>
      </c>
      <c r="G30" s="37" t="s">
        <v>566</v>
      </c>
      <c r="H30" s="37" t="s">
        <v>114</v>
      </c>
      <c r="I30" s="38" t="s">
        <v>308</v>
      </c>
      <c r="J30" s="37" t="s">
        <v>567</v>
      </c>
      <c r="K30" s="38" t="s">
        <v>568</v>
      </c>
    </row>
    <row r="31" ht="30" spans="1:11">
      <c r="A31" s="37" t="s">
        <v>676</v>
      </c>
      <c r="B31" s="37">
        <v>100</v>
      </c>
      <c r="C31" s="37">
        <f>2*1000*1.5</f>
        <v>3000</v>
      </c>
      <c r="D31" s="37">
        <v>1</v>
      </c>
      <c r="E31" s="37" t="s">
        <v>677</v>
      </c>
      <c r="F31" s="37" t="s">
        <v>627</v>
      </c>
      <c r="G31" s="37" t="s">
        <v>578</v>
      </c>
      <c r="H31" s="37"/>
      <c r="I31" s="37" t="s">
        <v>622</v>
      </c>
      <c r="J31" s="37" t="s">
        <v>678</v>
      </c>
      <c r="K31" s="37">
        <f>4.8*1000*30%*5</f>
        <v>7200</v>
      </c>
    </row>
    <row r="32" ht="45" spans="1:11">
      <c r="A32" s="37" t="s">
        <v>679</v>
      </c>
      <c r="B32" s="37">
        <v>75</v>
      </c>
      <c r="C32" s="37">
        <f>2*1000*2*1.3</f>
        <v>5200</v>
      </c>
      <c r="D32" s="37">
        <v>10</v>
      </c>
      <c r="E32" s="37" t="s">
        <v>680</v>
      </c>
      <c r="F32" s="37" t="s">
        <v>645</v>
      </c>
      <c r="G32" s="37" t="s">
        <v>645</v>
      </c>
      <c r="H32" s="37">
        <v>6</v>
      </c>
      <c r="I32" s="37" t="s">
        <v>681</v>
      </c>
      <c r="J32" s="37" t="s">
        <v>588</v>
      </c>
      <c r="K32" s="47">
        <v>0.15</v>
      </c>
    </row>
    <row r="33" ht="30" spans="1:11">
      <c r="A33" s="39" t="s">
        <v>682</v>
      </c>
      <c r="B33" s="39" t="s">
        <v>683</v>
      </c>
      <c r="C33" s="39">
        <f>2*1000*0.4</f>
        <v>800</v>
      </c>
      <c r="D33" s="39">
        <v>2</v>
      </c>
      <c r="E33" s="39" t="s">
        <v>684</v>
      </c>
      <c r="F33" s="39" t="s">
        <v>685</v>
      </c>
      <c r="G33" s="39" t="s">
        <v>578</v>
      </c>
      <c r="H33" s="39">
        <v>1</v>
      </c>
      <c r="I33" s="39" t="s">
        <v>686</v>
      </c>
      <c r="J33" s="39" t="s">
        <v>687</v>
      </c>
      <c r="K33" s="48">
        <f>4%*5</f>
        <v>0.2</v>
      </c>
    </row>
    <row r="34" ht="66" customHeight="1" spans="1:11">
      <c r="A34" s="39"/>
      <c r="B34" s="39"/>
      <c r="C34" s="39"/>
      <c r="D34" s="39"/>
      <c r="E34" s="39"/>
      <c r="F34" s="39"/>
      <c r="G34" s="39"/>
      <c r="H34" s="39"/>
      <c r="I34" s="39" t="s">
        <v>688</v>
      </c>
      <c r="J34" s="39" t="s">
        <v>689</v>
      </c>
      <c r="K34" s="39">
        <f>4.8*1000*5%*5</f>
        <v>1200</v>
      </c>
    </row>
    <row r="35" ht="30" spans="1:11">
      <c r="A35" s="39" t="s">
        <v>690</v>
      </c>
      <c r="B35" s="39">
        <v>150</v>
      </c>
      <c r="C35" s="39">
        <f>2*1000*1.5</f>
        <v>3000</v>
      </c>
      <c r="D35" s="39">
        <v>5</v>
      </c>
      <c r="E35" s="39" t="s">
        <v>691</v>
      </c>
      <c r="F35" s="39" t="s">
        <v>685</v>
      </c>
      <c r="G35" s="39" t="s">
        <v>692</v>
      </c>
      <c r="H35" s="39">
        <v>3</v>
      </c>
      <c r="I35" s="39" t="s">
        <v>686</v>
      </c>
      <c r="J35" s="39" t="s">
        <v>687</v>
      </c>
      <c r="K35" s="48">
        <f>4%*5</f>
        <v>0.2</v>
      </c>
    </row>
    <row r="36" ht="54" customHeight="1" spans="1:11">
      <c r="A36" s="39"/>
      <c r="B36" s="39"/>
      <c r="C36" s="39"/>
      <c r="D36" s="39"/>
      <c r="E36" s="39"/>
      <c r="F36" s="39"/>
      <c r="G36" s="39"/>
      <c r="H36" s="39"/>
      <c r="I36" s="39" t="s">
        <v>688</v>
      </c>
      <c r="J36" s="39" t="s">
        <v>689</v>
      </c>
      <c r="K36" s="39">
        <f>4.8*1000*5%*5</f>
        <v>1200</v>
      </c>
    </row>
    <row r="38" ht="60" spans="1:8">
      <c r="A38" s="40" t="s">
        <v>591</v>
      </c>
      <c r="B38" s="40" t="s">
        <v>693</v>
      </c>
      <c r="C38" s="40" t="s">
        <v>694</v>
      </c>
      <c r="D38" s="41" t="s">
        <v>695</v>
      </c>
      <c r="E38" s="41" t="s">
        <v>696</v>
      </c>
      <c r="F38" s="41" t="s">
        <v>697</v>
      </c>
      <c r="G38" s="41" t="s">
        <v>698</v>
      </c>
      <c r="H38" s="41" t="s">
        <v>699</v>
      </c>
    </row>
    <row r="39" ht="60" spans="1:8">
      <c r="A39" s="42"/>
      <c r="B39" s="42"/>
      <c r="C39" s="42"/>
      <c r="D39" s="41"/>
      <c r="E39" s="41" t="s">
        <v>700</v>
      </c>
      <c r="F39" s="41" t="s">
        <v>701</v>
      </c>
      <c r="G39" s="41" t="s">
        <v>702</v>
      </c>
      <c r="H39" s="41" t="s">
        <v>703</v>
      </c>
    </row>
    <row r="40" spans="1:8">
      <c r="A40" s="43"/>
      <c r="B40" s="43"/>
      <c r="C40" s="43"/>
      <c r="D40" s="43"/>
      <c r="E40" s="43"/>
      <c r="F40" s="43"/>
      <c r="G40" s="43"/>
      <c r="H40" s="43"/>
    </row>
    <row r="41" ht="60" spans="1:8">
      <c r="A41" s="40" t="s">
        <v>603</v>
      </c>
      <c r="B41" s="40" t="s">
        <v>704</v>
      </c>
      <c r="C41" s="40" t="s">
        <v>705</v>
      </c>
      <c r="D41" s="40" t="s">
        <v>706</v>
      </c>
      <c r="E41" s="41" t="s">
        <v>707</v>
      </c>
      <c r="F41" s="41" t="s">
        <v>708</v>
      </c>
      <c r="G41" s="41" t="s">
        <v>709</v>
      </c>
      <c r="H41" s="44"/>
    </row>
    <row r="42" ht="60" spans="1:8">
      <c r="A42" s="45"/>
      <c r="B42" s="45"/>
      <c r="C42" s="45"/>
      <c r="D42" s="45"/>
      <c r="E42" s="41" t="s">
        <v>710</v>
      </c>
      <c r="F42" s="41" t="s">
        <v>711</v>
      </c>
      <c r="G42" s="41"/>
      <c r="H42" s="44"/>
    </row>
    <row r="43" ht="60" spans="1:8">
      <c r="A43" s="42"/>
      <c r="B43" s="42"/>
      <c r="C43" s="42"/>
      <c r="D43" s="42"/>
      <c r="E43" s="41" t="s">
        <v>712</v>
      </c>
      <c r="F43" s="41" t="s">
        <v>713</v>
      </c>
      <c r="G43" s="41" t="s">
        <v>714</v>
      </c>
      <c r="H43" s="44"/>
    </row>
  </sheetData>
  <mergeCells count="24">
    <mergeCell ref="A33:A34"/>
    <mergeCell ref="A35:A36"/>
    <mergeCell ref="A38:A39"/>
    <mergeCell ref="A41:A43"/>
    <mergeCell ref="B33:B34"/>
    <mergeCell ref="B35:B36"/>
    <mergeCell ref="B38:B39"/>
    <mergeCell ref="B41:B43"/>
    <mergeCell ref="C33:C34"/>
    <mergeCell ref="C35:C36"/>
    <mergeCell ref="C38:C39"/>
    <mergeCell ref="C41:C43"/>
    <mergeCell ref="D33:D34"/>
    <mergeCell ref="D35:D36"/>
    <mergeCell ref="D38:D39"/>
    <mergeCell ref="D41:D43"/>
    <mergeCell ref="E33:E34"/>
    <mergeCell ref="E35:E36"/>
    <mergeCell ref="F33:F34"/>
    <mergeCell ref="F35:F36"/>
    <mergeCell ref="G33:G34"/>
    <mergeCell ref="G35:G36"/>
    <mergeCell ref="H33:H34"/>
    <mergeCell ref="H35:H3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2"/>
  <sheetViews>
    <sheetView topLeftCell="A34" workbookViewId="0">
      <selection activeCell="D1" sqref="D1"/>
    </sheetView>
  </sheetViews>
  <sheetFormatPr defaultColWidth="9.14285714285714" defaultRowHeight="15"/>
  <cols>
    <col min="1" max="1" width="20.7142857142857" style="3" customWidth="1"/>
    <col min="2" max="2" width="13.5714285714286" style="3" customWidth="1"/>
    <col min="3" max="3" width="14.1428571428571" style="3" customWidth="1"/>
    <col min="4" max="4" width="34.4285714285714" style="4" customWidth="1"/>
    <col min="5" max="5" width="27" style="3" customWidth="1"/>
    <col min="6" max="6" width="12.1428571428571" style="3" customWidth="1"/>
    <col min="7" max="7" width="9.14285714285714" style="3" customWidth="1"/>
    <col min="8" max="8" width="18" style="5" customWidth="1"/>
    <col min="9" max="9" width="11.7142857142857" style="3" customWidth="1"/>
  </cols>
  <sheetData>
    <row r="1" s="2" customFormat="1" spans="1:9">
      <c r="A1" s="6" t="s">
        <v>715</v>
      </c>
      <c r="B1" s="7" t="s">
        <v>716</v>
      </c>
      <c r="C1" s="7" t="s">
        <v>717</v>
      </c>
      <c r="D1" s="8" t="s">
        <v>718</v>
      </c>
      <c r="E1" s="6" t="s">
        <v>308</v>
      </c>
      <c r="F1" s="6" t="s">
        <v>719</v>
      </c>
      <c r="G1" s="6" t="s">
        <v>720</v>
      </c>
      <c r="H1" s="9" t="s">
        <v>721</v>
      </c>
      <c r="I1" s="6" t="s">
        <v>722</v>
      </c>
    </row>
    <row r="2" spans="1:9">
      <c r="A2" s="10" t="s">
        <v>617</v>
      </c>
      <c r="B2" s="11" t="s">
        <v>571</v>
      </c>
      <c r="C2" s="11" t="s">
        <v>578</v>
      </c>
      <c r="D2" s="12">
        <v>0</v>
      </c>
      <c r="E2" s="13" t="s">
        <v>198</v>
      </c>
      <c r="F2" s="13">
        <f>I2/H2</f>
        <v>1975.71428571429</v>
      </c>
      <c r="G2" s="14">
        <f>F2/1000</f>
        <v>1.97571428571429</v>
      </c>
      <c r="H2" s="15">
        <v>8.4</v>
      </c>
      <c r="I2" s="13">
        <f>17900-SUM(I3:I4)</f>
        <v>16596</v>
      </c>
    </row>
    <row r="3" spans="1:9">
      <c r="A3" s="10" t="s">
        <v>617</v>
      </c>
      <c r="B3" s="16"/>
      <c r="C3" s="16"/>
      <c r="D3" s="16"/>
      <c r="E3" s="13" t="s">
        <v>460</v>
      </c>
      <c r="F3" s="13">
        <v>4</v>
      </c>
      <c r="G3" s="14"/>
      <c r="H3" s="15">
        <v>2326</v>
      </c>
      <c r="I3" s="13">
        <f>F3*H3</f>
        <v>9304</v>
      </c>
    </row>
    <row r="4" spans="1:9">
      <c r="A4" s="10" t="s">
        <v>617</v>
      </c>
      <c r="B4" s="17"/>
      <c r="C4" s="17"/>
      <c r="D4" s="17"/>
      <c r="E4" s="13" t="s">
        <v>217</v>
      </c>
      <c r="F4" s="13">
        <v>-20</v>
      </c>
      <c r="G4" s="14"/>
      <c r="H4" s="15">
        <v>400</v>
      </c>
      <c r="I4" s="13">
        <f>F4*H4</f>
        <v>-8000</v>
      </c>
    </row>
    <row r="5" spans="1:9">
      <c r="A5" s="10" t="s">
        <v>557</v>
      </c>
      <c r="B5" s="11" t="s">
        <v>571</v>
      </c>
      <c r="C5" s="11" t="s">
        <v>723</v>
      </c>
      <c r="D5" s="18">
        <v>0.5</v>
      </c>
      <c r="E5" s="13" t="s">
        <v>198</v>
      </c>
      <c r="F5" s="13">
        <f>I5/H5</f>
        <v>3559.52380952381</v>
      </c>
      <c r="G5" s="14">
        <f>F5/1000</f>
        <v>3.55952380952381</v>
      </c>
      <c r="H5" s="15">
        <v>8.4</v>
      </c>
      <c r="I5" s="13">
        <f>17900-I6</f>
        <v>29900</v>
      </c>
    </row>
    <row r="6" spans="1:9">
      <c r="A6" s="10" t="s">
        <v>557</v>
      </c>
      <c r="B6" s="17"/>
      <c r="C6" s="17"/>
      <c r="D6" s="17"/>
      <c r="E6" s="13" t="s">
        <v>217</v>
      </c>
      <c r="F6" s="13">
        <v>-30</v>
      </c>
      <c r="G6" s="14"/>
      <c r="H6" s="15">
        <v>400</v>
      </c>
      <c r="I6" s="13">
        <f>F6*H6</f>
        <v>-12000</v>
      </c>
    </row>
    <row r="7" spans="1:9">
      <c r="A7" s="10" t="s">
        <v>724</v>
      </c>
      <c r="B7" s="11" t="s">
        <v>571</v>
      </c>
      <c r="C7" s="11" t="s">
        <v>725</v>
      </c>
      <c r="D7" s="18">
        <v>0.5</v>
      </c>
      <c r="E7" s="13" t="s">
        <v>198</v>
      </c>
      <c r="F7" s="13">
        <f>I7/H7</f>
        <v>2678.57142857143</v>
      </c>
      <c r="G7" s="14">
        <f>F7/1000</f>
        <v>2.67857142857143</v>
      </c>
      <c r="H7" s="15">
        <v>8.4</v>
      </c>
      <c r="I7" s="13">
        <f>17900-I8-I9</f>
        <v>22500</v>
      </c>
    </row>
    <row r="8" spans="1:9">
      <c r="A8" s="10" t="s">
        <v>724</v>
      </c>
      <c r="B8" s="16"/>
      <c r="C8" s="16"/>
      <c r="D8" s="16"/>
      <c r="E8" s="13" t="s">
        <v>224</v>
      </c>
      <c r="F8" s="19">
        <v>0.1</v>
      </c>
      <c r="G8" s="14"/>
      <c r="H8" s="15">
        <v>140</v>
      </c>
      <c r="I8" s="13">
        <f>F8*H8*100</f>
        <v>1400</v>
      </c>
    </row>
    <row r="9" spans="1:9">
      <c r="A9" s="10" t="s">
        <v>724</v>
      </c>
      <c r="B9" s="17"/>
      <c r="C9" s="17"/>
      <c r="D9" s="17"/>
      <c r="E9" s="13" t="s">
        <v>217</v>
      </c>
      <c r="F9" s="13">
        <v>-15</v>
      </c>
      <c r="G9" s="14"/>
      <c r="H9" s="15">
        <v>400</v>
      </c>
      <c r="I9" s="13">
        <f>F9*H9</f>
        <v>-6000</v>
      </c>
    </row>
    <row r="10" spans="1:9">
      <c r="A10" s="10" t="s">
        <v>674</v>
      </c>
      <c r="B10" s="11" t="s">
        <v>627</v>
      </c>
      <c r="C10" s="11" t="s">
        <v>578</v>
      </c>
      <c r="D10" s="12">
        <v>0</v>
      </c>
      <c r="E10" s="13" t="s">
        <v>198</v>
      </c>
      <c r="F10" s="13">
        <f>I10/H10</f>
        <v>1464.28571428571</v>
      </c>
      <c r="G10" s="14">
        <f>F10/1000</f>
        <v>1.46428571428571</v>
      </c>
      <c r="H10" s="15">
        <v>8.4</v>
      </c>
      <c r="I10" s="13">
        <f>17900-I11-I12</f>
        <v>12300</v>
      </c>
    </row>
    <row r="11" spans="1:9">
      <c r="A11" s="10" t="s">
        <v>674</v>
      </c>
      <c r="B11" s="16"/>
      <c r="C11" s="16"/>
      <c r="D11" s="16"/>
      <c r="E11" s="13" t="s">
        <v>224</v>
      </c>
      <c r="F11" s="19">
        <v>0.1</v>
      </c>
      <c r="G11" s="13"/>
      <c r="H11" s="15">
        <v>140</v>
      </c>
      <c r="I11" s="13">
        <f>F11*H11*100</f>
        <v>1400</v>
      </c>
    </row>
    <row r="12" spans="1:9">
      <c r="A12" s="10" t="s">
        <v>674</v>
      </c>
      <c r="B12" s="17"/>
      <c r="C12" s="17"/>
      <c r="D12" s="17"/>
      <c r="E12" s="13" t="s">
        <v>233</v>
      </c>
      <c r="F12" s="19">
        <v>0.3</v>
      </c>
      <c r="G12" s="13"/>
      <c r="H12" s="15">
        <v>140</v>
      </c>
      <c r="I12" s="13">
        <f>F12*H12*100</f>
        <v>4200</v>
      </c>
    </row>
    <row r="13" spans="1:9">
      <c r="A13" s="10" t="s">
        <v>726</v>
      </c>
      <c r="B13" s="11" t="s">
        <v>571</v>
      </c>
      <c r="C13" s="11" t="s">
        <v>727</v>
      </c>
      <c r="D13" s="12" t="s">
        <v>728</v>
      </c>
      <c r="E13" s="13" t="s">
        <v>198</v>
      </c>
      <c r="F13" s="13">
        <f>I13/H13</f>
        <v>1702.38095238095</v>
      </c>
      <c r="G13" s="14">
        <f>F13/1000</f>
        <v>1.70238095238095</v>
      </c>
      <c r="H13" s="15">
        <v>8.4</v>
      </c>
      <c r="I13" s="13">
        <f>17900-I14-I16-I15</f>
        <v>14300</v>
      </c>
    </row>
    <row r="14" spans="1:9">
      <c r="A14" s="10" t="s">
        <v>726</v>
      </c>
      <c r="B14" s="16"/>
      <c r="C14" s="16"/>
      <c r="D14" s="16"/>
      <c r="E14" s="13" t="s">
        <v>457</v>
      </c>
      <c r="F14" s="19">
        <v>0.2</v>
      </c>
      <c r="G14" s="13"/>
      <c r="H14" s="15">
        <v>140</v>
      </c>
      <c r="I14" s="13">
        <f>F14*H14*100</f>
        <v>2800</v>
      </c>
    </row>
    <row r="15" spans="1:9">
      <c r="A15" s="10" t="s">
        <v>726</v>
      </c>
      <c r="B15" s="16"/>
      <c r="C15" s="16"/>
      <c r="D15" s="16"/>
      <c r="E15" s="13" t="s">
        <v>233</v>
      </c>
      <c r="F15" s="19">
        <v>0.2</v>
      </c>
      <c r="G15" s="13"/>
      <c r="H15" s="15">
        <v>140</v>
      </c>
      <c r="I15" s="13">
        <f>F15*H15*100</f>
        <v>2800</v>
      </c>
    </row>
    <row r="16" spans="1:9">
      <c r="A16" s="10" t="s">
        <v>726</v>
      </c>
      <c r="B16" s="17"/>
      <c r="C16" s="17"/>
      <c r="D16" s="17"/>
      <c r="E16" s="13" t="s">
        <v>217</v>
      </c>
      <c r="F16" s="13">
        <v>-5</v>
      </c>
      <c r="G16" s="13"/>
      <c r="H16" s="15">
        <v>400</v>
      </c>
      <c r="I16" s="13">
        <f>F16*H16</f>
        <v>-2000</v>
      </c>
    </row>
    <row r="17" spans="1:9">
      <c r="A17" s="10" t="s">
        <v>729</v>
      </c>
      <c r="B17" s="11" t="s">
        <v>627</v>
      </c>
      <c r="C17" s="11" t="s">
        <v>730</v>
      </c>
      <c r="D17" s="18">
        <v>0.5</v>
      </c>
      <c r="E17" s="13" t="s">
        <v>198</v>
      </c>
      <c r="F17" s="13">
        <f>I17/H17</f>
        <v>2750</v>
      </c>
      <c r="G17" s="14">
        <f>F17/1000</f>
        <v>2.75</v>
      </c>
      <c r="H17" s="15">
        <v>8.4</v>
      </c>
      <c r="I17" s="13">
        <f>17900-I18-I19</f>
        <v>23100</v>
      </c>
    </row>
    <row r="18" spans="1:9">
      <c r="A18" s="10" t="s">
        <v>729</v>
      </c>
      <c r="B18" s="16"/>
      <c r="C18" s="16"/>
      <c r="D18" s="16"/>
      <c r="E18" s="13" t="s">
        <v>459</v>
      </c>
      <c r="F18" s="13">
        <v>1</v>
      </c>
      <c r="G18" s="13"/>
      <c r="H18" s="15">
        <v>4800</v>
      </c>
      <c r="I18" s="13">
        <f>F18*H18</f>
        <v>4800</v>
      </c>
    </row>
    <row r="19" spans="1:9">
      <c r="A19" s="10" t="s">
        <v>729</v>
      </c>
      <c r="B19" s="17"/>
      <c r="C19" s="17"/>
      <c r="D19" s="17"/>
      <c r="E19" s="13" t="s">
        <v>217</v>
      </c>
      <c r="F19" s="13">
        <v>-25</v>
      </c>
      <c r="G19" s="13"/>
      <c r="H19" s="15">
        <v>400</v>
      </c>
      <c r="I19" s="13">
        <f>F19*H19</f>
        <v>-10000</v>
      </c>
    </row>
    <row r="20" spans="1:9">
      <c r="A20" s="20" t="s">
        <v>731</v>
      </c>
      <c r="B20" s="11" t="s">
        <v>571</v>
      </c>
      <c r="C20" s="11" t="s">
        <v>578</v>
      </c>
      <c r="D20" s="21"/>
      <c r="E20" s="13" t="s">
        <v>198</v>
      </c>
      <c r="F20" s="13">
        <f>I20/H20</f>
        <v>2130.95238095238</v>
      </c>
      <c r="G20" s="14">
        <f>F20/1000</f>
        <v>2.13095238095238</v>
      </c>
      <c r="H20" s="15">
        <v>8.4</v>
      </c>
      <c r="I20" s="13">
        <v>17900</v>
      </c>
    </row>
    <row r="21" spans="1:9">
      <c r="A21" s="10" t="s">
        <v>560</v>
      </c>
      <c r="B21" s="22"/>
      <c r="C21" s="22"/>
      <c r="D21" s="12"/>
      <c r="E21" s="13" t="s">
        <v>202</v>
      </c>
      <c r="F21" s="13">
        <v>500</v>
      </c>
      <c r="G21" s="14">
        <f t="shared" ref="G20:G27" si="0">F21/1000</f>
        <v>0.5</v>
      </c>
      <c r="H21" s="23">
        <v>5.6</v>
      </c>
      <c r="I21" s="13">
        <f>F21*H21</f>
        <v>2800</v>
      </c>
    </row>
    <row r="22" spans="1:9">
      <c r="A22" s="10" t="s">
        <v>560</v>
      </c>
      <c r="B22" s="16"/>
      <c r="C22" s="16"/>
      <c r="D22" s="16"/>
      <c r="E22" s="13" t="s">
        <v>210</v>
      </c>
      <c r="F22" s="13">
        <v>500</v>
      </c>
      <c r="G22" s="14">
        <f t="shared" si="0"/>
        <v>0.5</v>
      </c>
      <c r="H22" s="23">
        <v>11.6</v>
      </c>
      <c r="I22" s="13">
        <f>F22*H22</f>
        <v>5800</v>
      </c>
    </row>
    <row r="23" customFormat="1" spans="1:9">
      <c r="A23" s="10" t="s">
        <v>560</v>
      </c>
      <c r="B23" s="17"/>
      <c r="C23" s="17"/>
      <c r="D23" s="17"/>
      <c r="E23" s="13" t="s">
        <v>190</v>
      </c>
      <c r="F23" s="13">
        <f>I23/H23</f>
        <v>9300</v>
      </c>
      <c r="G23" s="14">
        <f t="shared" si="0"/>
        <v>9.3</v>
      </c>
      <c r="H23" s="15">
        <v>1</v>
      </c>
      <c r="I23" s="13">
        <f>17900-I21-I22</f>
        <v>9300</v>
      </c>
    </row>
    <row r="24" spans="1:9">
      <c r="A24" s="10" t="s">
        <v>561</v>
      </c>
      <c r="B24" s="11"/>
      <c r="C24" s="11"/>
      <c r="D24" s="12"/>
      <c r="E24" s="13" t="s">
        <v>190</v>
      </c>
      <c r="F24" s="13">
        <f>I24/H24</f>
        <v>8950</v>
      </c>
      <c r="G24" s="14">
        <f t="shared" si="0"/>
        <v>8.95</v>
      </c>
      <c r="H24" s="15">
        <v>1</v>
      </c>
      <c r="I24" s="13">
        <f>17900-I25</f>
        <v>8950</v>
      </c>
    </row>
    <row r="25" spans="1:9">
      <c r="A25" s="10" t="s">
        <v>561</v>
      </c>
      <c r="B25" s="17"/>
      <c r="C25" s="17"/>
      <c r="D25" s="17"/>
      <c r="E25" s="13" t="s">
        <v>195</v>
      </c>
      <c r="F25" s="13">
        <f>I25/H25</f>
        <v>8950</v>
      </c>
      <c r="G25" s="14">
        <f t="shared" si="0"/>
        <v>8.95</v>
      </c>
      <c r="H25" s="15">
        <v>1</v>
      </c>
      <c r="I25" s="13">
        <v>8950</v>
      </c>
    </row>
    <row r="26" spans="1:9">
      <c r="A26" s="10" t="s">
        <v>618</v>
      </c>
      <c r="B26" s="11"/>
      <c r="C26" s="11"/>
      <c r="D26" s="12"/>
      <c r="E26" s="13" t="s">
        <v>190</v>
      </c>
      <c r="F26" s="24">
        <f>I26/H26</f>
        <v>4000</v>
      </c>
      <c r="G26" s="14">
        <f t="shared" si="0"/>
        <v>4</v>
      </c>
      <c r="H26" s="15">
        <v>1</v>
      </c>
      <c r="I26" s="13">
        <v>4000</v>
      </c>
    </row>
    <row r="27" spans="1:9">
      <c r="A27" s="10" t="s">
        <v>618</v>
      </c>
      <c r="B27" s="16"/>
      <c r="C27" s="16"/>
      <c r="D27" s="16"/>
      <c r="E27" s="13" t="s">
        <v>198</v>
      </c>
      <c r="F27" s="24">
        <f>I27/H27</f>
        <v>607.142857142857</v>
      </c>
      <c r="G27" s="14">
        <f t="shared" si="0"/>
        <v>0.607142857142857</v>
      </c>
      <c r="H27" s="15">
        <v>8.4</v>
      </c>
      <c r="I27" s="13">
        <f>17900-SUM(I26,I28:I30)</f>
        <v>5100</v>
      </c>
    </row>
    <row r="28" spans="1:9">
      <c r="A28" s="10" t="s">
        <v>618</v>
      </c>
      <c r="B28" s="16"/>
      <c r="C28" s="16"/>
      <c r="D28" s="16"/>
      <c r="E28" s="13" t="s">
        <v>233</v>
      </c>
      <c r="F28" s="25">
        <v>0.2</v>
      </c>
      <c r="G28" s="14"/>
      <c r="H28" s="15">
        <v>140</v>
      </c>
      <c r="I28" s="13">
        <f>F28*H28*100</f>
        <v>2800</v>
      </c>
    </row>
    <row r="29" spans="1:9">
      <c r="A29" s="10" t="s">
        <v>618</v>
      </c>
      <c r="B29" s="16"/>
      <c r="C29" s="16"/>
      <c r="D29" s="16"/>
      <c r="E29" s="13" t="s">
        <v>202</v>
      </c>
      <c r="F29" s="24">
        <f t="shared" ref="F29:F35" si="1">I29/H29</f>
        <v>535.714285714286</v>
      </c>
      <c r="G29" s="14">
        <f>F29/1000</f>
        <v>0.535714285714286</v>
      </c>
      <c r="H29" s="23">
        <v>5.6</v>
      </c>
      <c r="I29" s="13">
        <v>3000</v>
      </c>
    </row>
    <row r="30" spans="1:9">
      <c r="A30" s="10" t="s">
        <v>618</v>
      </c>
      <c r="B30" s="17"/>
      <c r="C30" s="17"/>
      <c r="D30" s="17"/>
      <c r="E30" s="13" t="s">
        <v>210</v>
      </c>
      <c r="F30" s="24">
        <f t="shared" si="1"/>
        <v>258.620689655172</v>
      </c>
      <c r="G30" s="14">
        <f>F30/1000</f>
        <v>0.258620689655172</v>
      </c>
      <c r="H30" s="23">
        <v>11.6</v>
      </c>
      <c r="I30" s="13">
        <v>3000</v>
      </c>
    </row>
    <row r="31" spans="1:9">
      <c r="A31" s="10" t="s">
        <v>732</v>
      </c>
      <c r="B31" s="11"/>
      <c r="C31" s="11"/>
      <c r="D31" s="12"/>
      <c r="E31" s="13" t="s">
        <v>190</v>
      </c>
      <c r="F31" s="24">
        <f t="shared" si="1"/>
        <v>5900</v>
      </c>
      <c r="G31" s="14">
        <f>F31/1000</f>
        <v>5.9</v>
      </c>
      <c r="H31" s="15">
        <v>1</v>
      </c>
      <c r="I31" s="13">
        <v>5900</v>
      </c>
    </row>
    <row r="32" spans="1:9">
      <c r="A32" s="10" t="s">
        <v>732</v>
      </c>
      <c r="B32" s="16"/>
      <c r="C32" s="16"/>
      <c r="D32" s="16"/>
      <c r="E32" s="13" t="s">
        <v>202</v>
      </c>
      <c r="F32" s="24">
        <f t="shared" si="1"/>
        <v>1071.42857142857</v>
      </c>
      <c r="G32" s="14">
        <f>F32/1000</f>
        <v>1.07142857142857</v>
      </c>
      <c r="H32" s="23">
        <v>5.6</v>
      </c>
      <c r="I32" s="13">
        <v>6000</v>
      </c>
    </row>
    <row r="33" spans="1:9">
      <c r="A33" s="10" t="s">
        <v>732</v>
      </c>
      <c r="B33" s="17"/>
      <c r="C33" s="17"/>
      <c r="D33" s="17"/>
      <c r="E33" s="13" t="s">
        <v>210</v>
      </c>
      <c r="F33" s="24">
        <f t="shared" si="1"/>
        <v>517.241379310345</v>
      </c>
      <c r="G33" s="14">
        <f>F33/1000</f>
        <v>0.517241379310345</v>
      </c>
      <c r="H33" s="23">
        <v>11.6</v>
      </c>
      <c r="I33" s="13">
        <v>6000</v>
      </c>
    </row>
    <row r="34" spans="1:9">
      <c r="A34" s="10" t="s">
        <v>733</v>
      </c>
      <c r="B34" s="11"/>
      <c r="C34" s="11"/>
      <c r="D34" s="12"/>
      <c r="E34" s="13" t="s">
        <v>195</v>
      </c>
      <c r="F34" s="24">
        <f t="shared" si="1"/>
        <v>6000</v>
      </c>
      <c r="G34" s="13"/>
      <c r="H34" s="15">
        <v>1</v>
      </c>
      <c r="I34" s="13">
        <v>6000</v>
      </c>
    </row>
    <row r="35" spans="1:9">
      <c r="A35" s="10" t="s">
        <v>733</v>
      </c>
      <c r="B35" s="16"/>
      <c r="C35" s="16"/>
      <c r="D35" s="16"/>
      <c r="E35" s="13" t="s">
        <v>210</v>
      </c>
      <c r="F35" s="24">
        <f t="shared" si="1"/>
        <v>624.827586206897</v>
      </c>
      <c r="G35" s="13"/>
      <c r="H35" s="23">
        <v>11.6</v>
      </c>
      <c r="I35" s="13">
        <f>17900-I34-I36</f>
        <v>7248</v>
      </c>
    </row>
    <row r="36" spans="1:9">
      <c r="A36" s="10" t="s">
        <v>733</v>
      </c>
      <c r="B36" s="17"/>
      <c r="C36" s="17"/>
      <c r="D36" s="17"/>
      <c r="E36" s="13" t="s">
        <v>460</v>
      </c>
      <c r="F36" s="13">
        <v>2</v>
      </c>
      <c r="G36" s="13"/>
      <c r="H36" s="15">
        <v>2326</v>
      </c>
      <c r="I36" s="13">
        <f>H36*F36</f>
        <v>4652</v>
      </c>
    </row>
    <row r="37" spans="1:9">
      <c r="A37" s="10" t="s">
        <v>734</v>
      </c>
      <c r="B37" s="11"/>
      <c r="C37" s="11"/>
      <c r="D37" s="12"/>
      <c r="E37" s="13" t="s">
        <v>198</v>
      </c>
      <c r="F37" s="13">
        <f>I37/H37</f>
        <v>1464.28571428571</v>
      </c>
      <c r="G37" s="14">
        <f>F37/1000</f>
        <v>1.46428571428571</v>
      </c>
      <c r="H37" s="15">
        <v>8.4</v>
      </c>
      <c r="I37" s="13">
        <f>17900-SUM(I38:I39)</f>
        <v>12300</v>
      </c>
    </row>
    <row r="38" spans="1:9">
      <c r="A38" s="10" t="s">
        <v>734</v>
      </c>
      <c r="B38" s="16"/>
      <c r="C38" s="16"/>
      <c r="D38" s="16"/>
      <c r="E38" s="13" t="s">
        <v>224</v>
      </c>
      <c r="F38" s="19">
        <v>0.2</v>
      </c>
      <c r="G38" s="13"/>
      <c r="H38" s="15">
        <v>140</v>
      </c>
      <c r="I38" s="13">
        <f>F38*H38*100</f>
        <v>2800</v>
      </c>
    </row>
    <row r="39" spans="1:9">
      <c r="A39" s="10" t="s">
        <v>734</v>
      </c>
      <c r="B39" s="17"/>
      <c r="C39" s="17"/>
      <c r="D39" s="17"/>
      <c r="E39" s="13" t="s">
        <v>233</v>
      </c>
      <c r="F39" s="19">
        <v>0.2</v>
      </c>
      <c r="G39" s="13"/>
      <c r="H39" s="15">
        <v>140</v>
      </c>
      <c r="I39" s="13">
        <f>F39*H39*100</f>
        <v>2800</v>
      </c>
    </row>
    <row r="40" spans="1:9">
      <c r="A40" s="10" t="s">
        <v>675</v>
      </c>
      <c r="B40" s="11"/>
      <c r="C40" s="11"/>
      <c r="D40" s="12"/>
      <c r="E40" s="13" t="s">
        <v>198</v>
      </c>
      <c r="F40" s="13">
        <f>I40/H40</f>
        <v>630.952380952381</v>
      </c>
      <c r="G40" s="14">
        <f>F40/1000</f>
        <v>0.630952380952381</v>
      </c>
      <c r="H40" s="15">
        <v>8.4</v>
      </c>
      <c r="I40" s="13">
        <f>17900-SUM(I41:I43)</f>
        <v>5300</v>
      </c>
    </row>
    <row r="41" spans="1:9">
      <c r="A41" s="10" t="s">
        <v>675</v>
      </c>
      <c r="B41" s="16"/>
      <c r="C41" s="16"/>
      <c r="D41" s="16"/>
      <c r="E41" s="13" t="s">
        <v>224</v>
      </c>
      <c r="F41" s="19">
        <v>0.3</v>
      </c>
      <c r="G41" s="13"/>
      <c r="H41" s="15">
        <v>140</v>
      </c>
      <c r="I41" s="13">
        <f>F41*H41*100</f>
        <v>4200</v>
      </c>
    </row>
    <row r="42" spans="1:9">
      <c r="A42" s="10" t="s">
        <v>675</v>
      </c>
      <c r="B42" s="16"/>
      <c r="C42" s="16"/>
      <c r="D42" s="16"/>
      <c r="E42" s="13" t="s">
        <v>229</v>
      </c>
      <c r="F42" s="19">
        <v>1</v>
      </c>
      <c r="G42" s="13"/>
      <c r="H42" s="15">
        <v>28</v>
      </c>
      <c r="I42" s="13">
        <f>F42*H42*100</f>
        <v>2800</v>
      </c>
    </row>
    <row r="43" spans="1:9">
      <c r="A43" s="10" t="s">
        <v>675</v>
      </c>
      <c r="B43" s="17"/>
      <c r="C43" s="17"/>
      <c r="D43" s="17"/>
      <c r="E43" s="13" t="s">
        <v>233</v>
      </c>
      <c r="F43" s="19">
        <v>0.4</v>
      </c>
      <c r="G43" s="13"/>
      <c r="H43" s="15">
        <v>140</v>
      </c>
      <c r="I43" s="13">
        <f>F43*H43*100</f>
        <v>5600</v>
      </c>
    </row>
    <row r="45" spans="1:1">
      <c r="A45" t="s">
        <v>735</v>
      </c>
    </row>
    <row r="46" spans="1:1">
      <c r="A46" t="s">
        <v>736</v>
      </c>
    </row>
    <row r="47" spans="1:1">
      <c r="A47" s="3" t="s">
        <v>737</v>
      </c>
    </row>
    <row r="48" spans="1:1">
      <c r="A48" s="3" t="s">
        <v>738</v>
      </c>
    </row>
    <row r="49" spans="1:1">
      <c r="A49" s="3" t="s">
        <v>739</v>
      </c>
    </row>
    <row r="50" spans="1:1">
      <c r="A50" s="3" t="s">
        <v>740</v>
      </c>
    </row>
    <row r="51" spans="1:1">
      <c r="A51" s="3" t="s">
        <v>741</v>
      </c>
    </row>
    <row r="52" spans="1:1">
      <c r="A52" t="s">
        <v>742</v>
      </c>
    </row>
  </sheetData>
  <mergeCells count="39">
    <mergeCell ref="B2:B4"/>
    <mergeCell ref="B5:B6"/>
    <mergeCell ref="B7:B9"/>
    <mergeCell ref="B10:B12"/>
    <mergeCell ref="B13:B16"/>
    <mergeCell ref="B17:B19"/>
    <mergeCell ref="B21:B23"/>
    <mergeCell ref="B24:B25"/>
    <mergeCell ref="B26:B30"/>
    <mergeCell ref="B31:B33"/>
    <mergeCell ref="B34:B36"/>
    <mergeCell ref="B37:B39"/>
    <mergeCell ref="B40:B43"/>
    <mergeCell ref="C2:C4"/>
    <mergeCell ref="C5:C6"/>
    <mergeCell ref="C7:C9"/>
    <mergeCell ref="C10:C12"/>
    <mergeCell ref="C13:C16"/>
    <mergeCell ref="C17:C19"/>
    <mergeCell ref="C21:C23"/>
    <mergeCell ref="C24:C25"/>
    <mergeCell ref="C26:C30"/>
    <mergeCell ref="C31:C33"/>
    <mergeCell ref="C34:C36"/>
    <mergeCell ref="C37:C39"/>
    <mergeCell ref="C40:C43"/>
    <mergeCell ref="D2:D4"/>
    <mergeCell ref="D5:D6"/>
    <mergeCell ref="D7:D9"/>
    <mergeCell ref="D10:D12"/>
    <mergeCell ref="D13:D16"/>
    <mergeCell ref="D17:D19"/>
    <mergeCell ref="D21:D23"/>
    <mergeCell ref="D24:D25"/>
    <mergeCell ref="D26:D30"/>
    <mergeCell ref="D31:D33"/>
    <mergeCell ref="D34:D36"/>
    <mergeCell ref="D37:D39"/>
    <mergeCell ref="D40:D43"/>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C5" sqref="C5"/>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743</v>
      </c>
      <c r="B1" s="1" t="s">
        <v>744</v>
      </c>
      <c r="C1" s="1" t="s">
        <v>745</v>
      </c>
    </row>
    <row r="2" spans="1:3">
      <c r="A2" t="s">
        <v>746</v>
      </c>
      <c r="C2" t="s">
        <v>747</v>
      </c>
    </row>
    <row r="3" spans="1:3">
      <c r="A3" t="s">
        <v>748</v>
      </c>
      <c r="C3" t="s">
        <v>749</v>
      </c>
    </row>
    <row r="4" spans="1:3">
      <c r="A4" t="s">
        <v>587</v>
      </c>
      <c r="C4" t="s">
        <v>750</v>
      </c>
    </row>
    <row r="5" spans="1:3">
      <c r="A5" t="s">
        <v>589</v>
      </c>
      <c r="C5" t="s">
        <v>751</v>
      </c>
    </row>
    <row r="6" spans="1:3">
      <c r="A6" t="s">
        <v>752</v>
      </c>
      <c r="C6" t="s">
        <v>753</v>
      </c>
    </row>
    <row r="7" spans="1:3">
      <c r="A7" t="s">
        <v>754</v>
      </c>
      <c r="C7" t="s">
        <v>755</v>
      </c>
    </row>
    <row r="8" spans="1:3">
      <c r="A8" t="s">
        <v>756</v>
      </c>
      <c r="C8" t="s">
        <v>757</v>
      </c>
    </row>
    <row r="9" spans="1:3">
      <c r="A9" t="s">
        <v>758</v>
      </c>
      <c r="C9" t="s">
        <v>759</v>
      </c>
    </row>
    <row r="10" spans="1:3">
      <c r="A10" t="s">
        <v>760</v>
      </c>
      <c r="C10" t="s">
        <v>761</v>
      </c>
    </row>
    <row r="11" spans="1:3">
      <c r="A11" t="s">
        <v>762</v>
      </c>
      <c r="C11" t="s">
        <v>763</v>
      </c>
    </row>
    <row r="12" spans="1:3">
      <c r="A12" t="s">
        <v>764</v>
      </c>
      <c r="C12" t="s">
        <v>765</v>
      </c>
    </row>
    <row r="13" spans="1:3">
      <c r="A13" t="s">
        <v>766</v>
      </c>
      <c r="C13" t="s">
        <v>767</v>
      </c>
    </row>
    <row r="14" spans="1:3">
      <c r="A14" t="s">
        <v>768</v>
      </c>
      <c r="C14" t="s">
        <v>769</v>
      </c>
    </row>
    <row r="15" spans="1:3">
      <c r="A15" t="s">
        <v>732</v>
      </c>
      <c r="B15">
        <v>4</v>
      </c>
      <c r="C15" t="s">
        <v>770</v>
      </c>
    </row>
    <row r="16" spans="1:3">
      <c r="A16" t="s">
        <v>771</v>
      </c>
      <c r="C16" t="s">
        <v>772</v>
      </c>
    </row>
    <row r="18" spans="1:3">
      <c r="A18" t="s">
        <v>533</v>
      </c>
      <c r="B18">
        <v>3</v>
      </c>
      <c r="C18" t="s">
        <v>773</v>
      </c>
    </row>
    <row r="19" spans="1:3">
      <c r="A19" t="s">
        <v>774</v>
      </c>
      <c r="B19">
        <v>3</v>
      </c>
      <c r="C19" t="s">
        <v>775</v>
      </c>
    </row>
    <row r="20" spans="1:3">
      <c r="A20" t="s">
        <v>391</v>
      </c>
      <c r="C20" t="s">
        <v>776</v>
      </c>
    </row>
    <row r="21" spans="1:3">
      <c r="A21" t="s">
        <v>777</v>
      </c>
      <c r="C21" t="s">
        <v>778</v>
      </c>
    </row>
    <row r="22" spans="1:3">
      <c r="A22" t="s">
        <v>779</v>
      </c>
      <c r="B22" t="s">
        <v>780</v>
      </c>
      <c r="C22" t="s">
        <v>781</v>
      </c>
    </row>
    <row r="23" spans="1:3">
      <c r="A23" t="s">
        <v>782</v>
      </c>
      <c r="C23" t="s">
        <v>783</v>
      </c>
    </row>
    <row r="24" spans="1:3">
      <c r="A24" t="s">
        <v>784</v>
      </c>
      <c r="C24" t="s">
        <v>785</v>
      </c>
    </row>
    <row r="25" spans="1:3">
      <c r="A25" t="s">
        <v>786</v>
      </c>
      <c r="C25" t="s">
        <v>787</v>
      </c>
    </row>
    <row r="26" spans="1:3">
      <c r="A26" t="s">
        <v>788</v>
      </c>
      <c r="C26" t="s">
        <v>789</v>
      </c>
    </row>
    <row r="27" spans="1:3">
      <c r="A27" t="s">
        <v>790</v>
      </c>
      <c r="C27" t="s">
        <v>791</v>
      </c>
    </row>
    <row r="28" spans="1:3">
      <c r="A28" t="s">
        <v>792</v>
      </c>
      <c r="C28" t="s">
        <v>793</v>
      </c>
    </row>
    <row r="29" spans="1:3">
      <c r="A29" t="s">
        <v>794</v>
      </c>
      <c r="C29" t="s">
        <v>795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10</vt:i4>
      </vt:variant>
    </vt:vector>
  </HeadingPairs>
  <TitlesOfParts>
    <vt:vector size="10" baseType="lpstr">
      <vt:lpstr>Ý tưởng chung</vt:lpstr>
      <vt:lpstr>Giai đoạn phát triên</vt:lpstr>
      <vt:lpstr>Combat mechanic</vt:lpstr>
      <vt:lpstr>Termynology</vt:lpstr>
      <vt:lpstr>Balanced Dummy </vt:lpstr>
      <vt:lpstr>Destroyer class</vt:lpstr>
      <vt:lpstr>Warrior class</vt:lpstr>
      <vt:lpstr>Ranger class</vt:lpstr>
      <vt:lpstr>Item</vt:lpstr>
      <vt:lpstr>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2026-10-22T15:32:00Z</dcterms:created>
  <dcterms:modified xsi:type="dcterms:W3CDTF">2026-10-23T20:35:14Z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A35F334A222345C4B33D16975D188220_13</vt:lpwstr>
  </property>
  <property fmtid="{D5CDD505-2E9C-101B-9397-08002B2CF9AE}" pid="3" name="KSOProductBuildVer">
    <vt:lpwstr>1033-12.9.0.21549</vt:lpwstr>
  </property>
</Properties>
</file>