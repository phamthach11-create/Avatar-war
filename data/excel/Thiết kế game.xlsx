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180" activeTab="4"/>
  </bookViews>
  <sheets>
    <sheet name="Ý tưởng chung" sheetId="1" r:id="rId1"/>
    <sheet name="Giai đoạn phát triên" sheetId="2" r:id="rId2"/>
    <sheet name="Combat mechanic" sheetId="3" r:id="rId3"/>
    <sheet name="Term" sheetId="4" r:id="rId4"/>
    <sheet name="Balanced dummy" sheetId="6" r:id="rId5"/>
    <sheet name="Formula"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<sst xmlns="http://schemas.openxmlformats.org/spreadsheetml/2006/main" count="459" uniqueCount="338">
  <si>
    <t>Tên game</t>
  </si>
  <si>
    <t>Avatar war (dự kiến)</t>
  </si>
  <si>
    <t>Thể loại</t>
  </si>
  <si>
    <t>turn base strategy</t>
  </si>
  <si>
    <t>Đồ họa</t>
  </si>
  <si>
    <t>chưa xác định 2d, 3d hay 2.5d</t>
  </si>
  <si>
    <t>Ý tưởng</t>
  </si>
  <si>
    <t>lấy ý tưởng combat turn base từ game Atlantica</t>
  </si>
  <si>
    <t>Mô tả chiến đấu</t>
  </si>
  <si>
    <t xml:space="preserve">Đội hình 3x3 đối diện nhau </t>
  </si>
  <si>
    <t>Đội hình gồm nhân vật chính (main) và 8 nhân vật phụ (avatar)</t>
  </si>
  <si>
    <t>Các avatar sẽ có các chỉ số, vai trò khác nhau</t>
  </si>
  <si>
    <t xml:space="preserve">2 đội lần lượt tấn công nhau theo lượt. </t>
  </si>
  <si>
    <t>Mục tiêu là hạ được nhân vật chính của đối phương trước</t>
  </si>
  <si>
    <t>Giai đoạn phát triển</t>
  </si>
  <si>
    <t>Mục tiêu</t>
  </si>
  <si>
    <t>Giai đoạn</t>
  </si>
  <si>
    <t>tiến độ</t>
  </si>
  <si>
    <t>Thiết kế demo</t>
  </si>
  <si>
    <t>hoàn thiện ý tưởng chung</t>
  </si>
  <si>
    <t>đang ở bước này</t>
  </si>
  <si>
    <t>thiết lập chỉ số và công thức</t>
  </si>
  <si>
    <t>thiết kế nhân vât</t>
  </si>
  <si>
    <t>Tạo combat demo bằng text</t>
  </si>
  <si>
    <t>tạo combat demo với đồ họa đơn giản</t>
  </si>
  <si>
    <r>
      <rPr>
        <b/>
        <sz val="11"/>
        <color theme="1"/>
        <rFont val="Calibri"/>
        <charset val="134"/>
        <scheme val="minor"/>
      </rPr>
      <t>Avatar War</t>
    </r>
    <r>
      <rPr>
        <sz val="11"/>
        <color theme="1"/>
        <rFont val="Calibri"/>
        <charset val="134"/>
        <scheme val="minor"/>
      </rPr>
      <t xml:space="preserve"> is a turn-based strategy game where you command a main character and eight avatars in a 3×3 formation, aiming to defeat the enemy’s main character while protecting your own. Teams alternate turns, with the higher-AP team acting first and action slots gradually increasing from two to four, then five. Reposition your characters, defend to pass an action slot to an ally, or commit to an attack or skill. Every move costs AP, and pushing a character into negative AP can secure an immediate advantage at the cost of delaying their next opportunity to act. Victory depends on teamwork, positioning, and timing.</t>
    </r>
  </si>
  <si>
    <t>Section</t>
  </si>
  <si>
    <t>Rule</t>
  </si>
  <si>
    <t>Description</t>
  </si>
  <si>
    <t>Terminology</t>
  </si>
  <si>
    <t>Team turn</t>
  </si>
  <si>
    <t>One team's opportunity to act before control passes to the opposing team.</t>
  </si>
  <si>
    <t>Action slot</t>
  </si>
  <si>
    <t>A transferable opportunity to act, separate from its holder and AP.</t>
  </si>
  <si>
    <t>AP</t>
  </si>
  <si>
    <t>Action Points. AP may become negative through action costs or modifiers.</t>
  </si>
  <si>
    <t>I. Starting Team</t>
  </si>
  <si>
    <t>Initial initiative</t>
  </si>
  <si>
    <t>Compare the highest individual AP value on each team at the start of battle. The team with the higher value acts first.</t>
  </si>
  <si>
    <t>Initiative tie</t>
  </si>
  <si>
    <t>If both teams have the same highest AP value, randomly determine the starting team.</t>
  </si>
  <si>
    <t>II. Turn Sequence</t>
  </si>
  <si>
    <t>Alternating turns</t>
  </si>
  <si>
    <t>The two teams take turns alternately. Team A below denotes the starting team.</t>
  </si>
  <si>
    <t>Turn 1</t>
  </si>
  <si>
    <t>Team A: maximum 2 initial action slots.</t>
  </si>
  <si>
    <t>Turn 2</t>
  </si>
  <si>
    <t>Team B: maximum 2 initial action slots.</t>
  </si>
  <si>
    <t>Turn 3</t>
  </si>
  <si>
    <t>Team A: maximum 4 initial action slots.</t>
  </si>
  <si>
    <t>Turn 4</t>
  </si>
  <si>
    <t>Team B: maximum 4 initial action slots.</t>
  </si>
  <si>
    <t>Turn 5 onward</t>
  </si>
  <si>
    <t>The acting team receives a maximum of 5 initial action slots per team turn.</t>
  </si>
  <si>
    <t>III. AP Recovery</t>
  </si>
  <si>
    <t>Default recovery</t>
  </si>
  <si>
    <t>AP recovers at the beginning of the acting team's turn, before initial action slots are assigned.</t>
  </si>
  <si>
    <t>Recovery scope</t>
  </si>
  <si>
    <t>Only the acting team receives default AP recovery.</t>
  </si>
  <si>
    <t>Modifiers</t>
  </si>
  <si>
    <t>Specific modifiers may change AP recovery or AP during a turn.</t>
  </si>
  <si>
    <t>IV. Initial Slot Assignment</t>
  </si>
  <si>
    <t>AP requirement</t>
  </si>
  <si>
    <t>A character must have at least 100 AP to receive an initial action slot.</t>
  </si>
  <si>
    <t>Priority</t>
  </si>
  <si>
    <t>If eligible characters exceed the slot limit, prioritize characters with higher current AP.</t>
  </si>
  <si>
    <t>Priority tie</t>
  </si>
  <si>
    <t>Randomly resolve equal-AP ties when selecting initial slot holders.</t>
  </si>
  <si>
    <t>Initial allocation</t>
  </si>
  <si>
    <t>Assign one initial action slot to each selected character.</t>
  </si>
  <si>
    <t>Fixed slot count</t>
  </si>
  <si>
    <t>The initial slot count is determined at the beginning of the turn. No additional slots are created during that turn.</t>
  </si>
  <si>
    <t>Insufficient eligible characters</t>
  </si>
  <si>
    <t>If fewer characters qualify than the turn's slot limit, assign one initial action slot to each qualifying character. Later AP changes do not increase the initial slot count.</t>
  </si>
  <si>
    <t>No eligible characters</t>
  </si>
  <si>
    <t>If no character qualifies, the turn ends and control passes to the opposing team.</t>
  </si>
  <si>
    <t>V. Holding a Slot</t>
  </si>
  <si>
    <t>AP after assignment</t>
  </si>
  <si>
    <t>Later AP changes do not revoke an assigned slot.</t>
  </si>
  <si>
    <t>Continued actions</t>
  </si>
  <si>
    <t>The holder may continue acting with less than 100 AP or negative AP until the slot is transferred, ended, or interrupted.</t>
  </si>
  <si>
    <t>VI. Attack</t>
  </si>
  <si>
    <t>AP cost</t>
  </si>
  <si>
    <t>A normal attack costs 100 AP. Modifiers may affect the cost or resulting AP.</t>
  </si>
  <si>
    <t>Slot result</t>
  </si>
  <si>
    <t>Attacking ends the current action slot.</t>
  </si>
  <si>
    <t>VI. Skill</t>
  </si>
  <si>
    <t>AP cost depends on the skill. A character may use a skill costing more than their current AP, resulting in negative AP.</t>
  </si>
  <si>
    <t>Using a skill ends the current action slot.</t>
  </si>
  <si>
    <t>VI. Position Swap</t>
  </si>
  <si>
    <t>Each character involved in a position swap loses 50 AP.</t>
  </si>
  <si>
    <t>Low-AP swap partner</t>
  </si>
  <si>
    <t>A position swap is allowed with a character who has less than 50 AP. Their AP may become negative.</t>
  </si>
  <si>
    <t>Slot ownership</t>
  </si>
  <si>
    <t>The initiating character retains the current action slot.</t>
  </si>
  <si>
    <t>Swap limit</t>
  </si>
  <si>
    <t>Position swaps are unlimited within the current action slot, including when the holder has negative AP.</t>
  </si>
  <si>
    <t>Partner's slot</t>
  </si>
  <si>
    <t>Being swapped does not itself consume or transfer the swap partner's action slot.</t>
  </si>
  <si>
    <t>VI. Defend</t>
  </si>
  <si>
    <t>Defending costs 50 AP.</t>
  </si>
  <si>
    <t>Slot transfer</t>
  </si>
  <si>
    <t>Defending transfers the existing action slot to another eligible character. It does not create or end that slot.</t>
  </si>
  <si>
    <t>Defending character</t>
  </si>
  <si>
    <t>A character in the defending state cannot receive another action slot during the same team turn.</t>
  </si>
  <si>
    <t>Repeated transfers</t>
  </si>
  <si>
    <t>A recipient may also defend and transfer the same slot again.</t>
  </si>
  <si>
    <t>No eligible recipient</t>
  </si>
  <si>
    <t>If no other eligible character can receive the transfer, only the defending character's current action slot ends. Other active slots remain unaffected.</t>
  </si>
  <si>
    <t>VI. Voluntary Slot End</t>
  </si>
  <si>
    <t>Voluntarily ending the current action slot costs no AP.</t>
  </si>
  <si>
    <t>The slot ends without being transferred.</t>
  </si>
  <si>
    <t>Character restriction</t>
  </si>
  <si>
    <t>A character who voluntarily ends a slot cannot receive another slot during the same team turn, regardless of AP.</t>
  </si>
  <si>
    <t>VII. Transfer Eligibility</t>
  </si>
  <si>
    <t>Current AP</t>
  </si>
  <si>
    <t>A recipient must have at least 100 AP at the moment of transfer.</t>
  </si>
  <si>
    <t>Existing slot</t>
  </si>
  <si>
    <t>A character currently holding an action slot cannot receive a transferred slot.</t>
  </si>
  <si>
    <t>Restrictions</t>
  </si>
  <si>
    <t>A recipient must not be in the defending state or have voluntarily ended a slot during the current team turn.</t>
  </si>
  <si>
    <t>Receiving another slot</t>
  </si>
  <si>
    <t>A character who previously ended a slot by attacking or using a skill may receive another slot if currently eligible.</t>
  </si>
  <si>
    <t>AP modifiers</t>
  </si>
  <si>
    <t>AP changes may alter transfer eligibility, but do not revoke held slots or create new slots.</t>
  </si>
  <si>
    <t>VIII. Slot Interruption</t>
  </si>
  <si>
    <t>Interruption</t>
  </si>
  <si>
    <t>If the holder dies, is stunned, or suffers another slot-interrupting effect before transferring the slot, that slot is lost and cannot be transferred afterward.</t>
  </si>
  <si>
    <t>IX. Turn End</t>
  </si>
  <si>
    <t>No remaining slots</t>
  </si>
  <si>
    <t>The team turn ends when no active action slots remain.</t>
  </si>
  <si>
    <t>Failed defensive transfer</t>
  </si>
  <si>
    <t>A failed defensive transfer ends the team turn only if no active action slots remain.</t>
  </si>
  <si>
    <t>Turn progression</t>
  </si>
  <si>
    <t>A turn with no actions still counts toward the opening turn sequence.</t>
  </si>
  <si>
    <t>X. Battle End</t>
  </si>
  <si>
    <t>The battle-ending condition takes priority over remaining actions and slots.</t>
  </si>
  <si>
    <t>Victory objective</t>
  </si>
  <si>
    <t>Defeat the opposing team's main character to win.</t>
  </si>
  <si>
    <t>Term (stat)</t>
  </si>
  <si>
    <t>Symbol</t>
  </si>
  <si>
    <t>Unit</t>
  </si>
  <si>
    <t>Formula</t>
  </si>
  <si>
    <t>Definition</t>
  </si>
  <si>
    <t>HP (Health Points)</t>
  </si>
  <si>
    <t>HP</t>
  </si>
  <si>
    <t>Points</t>
  </si>
  <si>
    <t>MAX_HP = T_B_HP × (1 + T_HP_MOD)</t>
  </si>
  <si>
    <t>The character's health. Current HP decreases when taking damage; the character is defeated when it reaches 0. Max HP defines the maximum health capacity.</t>
  </si>
  <si>
    <t>MP (Mana Points)</t>
  </si>
  <si>
    <t>MP</t>
  </si>
  <si>
    <t>MAX_MP = T_B_MP × (1 + T_MP_MOD)</t>
  </si>
  <si>
    <t>A resource consumed by skills that require MP. Current MP is the available amount; Max MP defines the maximum capacity.</t>
  </si>
  <si>
    <t>Attack</t>
  </si>
  <si>
    <t>ATK</t>
  </si>
  <si>
    <t>F_ATK = T_B_ATK × (1 + T_ATK_MOD)</t>
  </si>
  <si>
    <t>The character's base offensive power, used to calculate damage for attacks and skills that scale with Attack.</t>
  </si>
  <si>
    <t>Defense</t>
  </si>
  <si>
    <t>DEF</t>
  </si>
  <si>
    <t>F_DEF = T_B_DEF × (1 + T_DEF_MOD)</t>
  </si>
  <si>
    <t>The character's ability to reduce incoming damage from normal attacks, according to the normal attack damage formula. Does not apply to skill damage.</t>
  </si>
  <si>
    <t>Skill Attack</t>
  </si>
  <si>
    <t>SATK</t>
  </si>
  <si>
    <t>F_SATK = T_B_SATK × (1 + T_SATK_MOD)</t>
  </si>
  <si>
    <t>The character's offensive power used to calculate damage for skills that scale with Skill Attack. Does not apply to normal attack damage.</t>
  </si>
  <si>
    <t>Skill Defense</t>
  </si>
  <si>
    <t>SDEF</t>
  </si>
  <si>
    <t>F_SDEF = T_B_SDEF × (1 + T_SDEF_MOD)</t>
  </si>
  <si>
    <t>The character's ability to reduce incoming skill damage, according to the applicable skill damage formula.</t>
  </si>
  <si>
    <t>AP (Action Points)</t>
  </si>
  <si>
    <t>AP_after = AP_before + AP_gained - AP_spent</t>
  </si>
  <si>
    <t>The character's current action resource. At least 100 AP is required to receive an action slot. Action costs and modifiers change AP, which may become negative.</t>
  </si>
  <si>
    <t>AP Recovery</t>
  </si>
  <si>
    <t>APR</t>
  </si>
  <si>
    <t>F_APR = T_B_APR × (1 + T_APR_MOD)</t>
  </si>
  <si>
    <t>The amount of AP the character normally recovers at the beginning of their team's turn, before initial action slots are assigned.</t>
  </si>
  <si>
    <t>Skill Point</t>
  </si>
  <si>
    <t>SP</t>
  </si>
  <si>
    <t>A resource spent to increase a skill's level.</t>
  </si>
  <si>
    <t>Critical Hit Chance</t>
  </si>
  <si>
    <t>CHC</t>
  </si>
  <si>
    <t>%</t>
  </si>
  <si>
    <t>F_CHC = T_B_CHC × (1 + T_CHC_MOD)</t>
  </si>
  <si>
    <t>The probability that an eligible hit becomes a critical hit.</t>
  </si>
  <si>
    <t>Critical Damage Bonus</t>
  </si>
  <si>
    <t>CDB</t>
  </si>
  <si>
    <t>F_CDB = T_B_CDB × (1 + T_CDB_MOD)</t>
  </si>
  <si>
    <t>The additional damage dealt by a critical hit compared with an equivalent non-critical hit. A 50% bonus means 150% of normal damage.</t>
  </si>
  <si>
    <t>Multi-Hit Rate</t>
  </si>
  <si>
    <t>MHR</t>
  </si>
  <si>
    <t>F_MHR = T_B_MHR × (1 + T_MHR_MOD)</t>
  </si>
  <si>
    <t>Determines the number of hits generated by one attack. Each full 100% grants one guaranteed hit; the remaining percentage is the chance of one additional hit. For example, 250% grants two guaranteed hits and a 50% chance of a third. These hits belong to the same action and do not create additional action slots.</t>
  </si>
  <si>
    <t>Accuracy</t>
  </si>
  <si>
    <t>ACC</t>
  </si>
  <si>
    <t>F_ACC = T_B_ACC × (1 + T_ACC_MOD)</t>
  </si>
  <si>
    <t>The character's accuracy percentage, combined with the target's Evasion to calculate the final hit chance.</t>
  </si>
  <si>
    <t>Evasion</t>
  </si>
  <si>
    <t>EVA</t>
  </si>
  <si>
    <t>F_EVA = T_B_EVA × (1 + T_EVA_MOD)</t>
  </si>
  <si>
    <t>The character's evasion percentage, combined with the attacker's Accuracy to calculate the final hit chance.</t>
  </si>
  <si>
    <t>Healing Amplification</t>
  </si>
  <si>
    <t>HA</t>
  </si>
  <si>
    <t>F_HA = T_B_HA × (1 + T_HA_MOD)</t>
  </si>
  <si>
    <t>Increases healing and HP regeneration received by the character. A value of 20% increases the amount restored by 20%.</t>
  </si>
  <si>
    <t>Stat Effectiveness</t>
  </si>
  <si>
    <t>SE</t>
  </si>
  <si>
    <t>F_SE = T_B_SE × (1 + T_SE_MOD)</t>
  </si>
  <si>
    <t>A multiplier applied to Total Stats to determine their Final values. It does not multiply itself. A value of 100% leaves values unchanged; 120% multiplies them by 1.2.</t>
  </si>
  <si>
    <t>Term (mechanic)</t>
  </si>
  <si>
    <t>Roll Value</t>
  </si>
  <si>
    <t>R</t>
  </si>
  <si>
    <t>R = UniformRandom(0, 1)</t>
  </si>
  <si>
    <t>A random value sampled uniformly from 0 inclusive to 1 exclusive. Each roll is independent.</t>
  </si>
  <si>
    <t>Roll Success</t>
  </si>
  <si>
    <t>S</t>
  </si>
  <si>
    <t>Boolean</t>
  </si>
  <si>
    <t>S = (R &lt; P)</t>
  </si>
  <si>
    <t>A probability check succeeds when the roll value is strictly less than the checked probability P. Probabilities of 0% or lower always fail; probabilities of 100% or higher always succeed.</t>
  </si>
  <si>
    <t>Hit Roll</t>
  </si>
  <si>
    <t>HIT</t>
  </si>
  <si>
    <t>HIT = (R_HIT &lt; HC)</t>
  </si>
  <si>
    <t>Checks whether a hit lands by comparing a random roll with the calculated Hit Chance.</t>
  </si>
  <si>
    <t>Critical Roll</t>
  </si>
  <si>
    <t>CRIT</t>
  </si>
  <si>
    <t>CRIT = (R_CRIT &lt; F_CHC)</t>
  </si>
  <si>
    <t>Checks whether an eligible landed hit becomes critical by comparing a separate random roll with the attacker's Final Critical Hit Chance.</t>
  </si>
  <si>
    <t>Multi-Hit Roll</t>
  </si>
  <si>
    <t>HITS</t>
  </si>
  <si>
    <t>Hits</t>
  </si>
  <si>
    <t>HITS = floor(F_MHR) + IF(R_MHR &lt; F_MHR - floor(F_MHR), 1, 0)</t>
  </si>
  <si>
    <t>Determines the number of hits generated by an attack. Full hundreds grant guaranteed hits; the fractional remainder determines the chance of one additional hit. Requires a non-negative Final Multi-Hit Rate.</t>
  </si>
  <si>
    <t>Hit Chance</t>
  </si>
  <si>
    <t>HC</t>
  </si>
  <si>
    <t>HC = Attacker.F_ACC - Target.F_EVA</t>
  </si>
  <si>
    <t>A hidden stat calculated for each attack against a target. It determines the probability of a hit and is not displayed on the character stat panel.</t>
  </si>
  <si>
    <t>Damage</t>
  </si>
  <si>
    <t>DMG</t>
  </si>
  <si>
    <t>DMG = Attacker.F_ATK × (1 − MIT)</t>
  </si>
  <si>
    <t>The actual damage received from a normal attack after mitigation is applied.</t>
  </si>
  <si>
    <t>Mitigation</t>
  </si>
  <si>
    <t>MIT</t>
  </si>
  <si>
    <t>MIT = Target.F_DEF / (Target.F_DEF + K)</t>
  </si>
  <si>
    <t>The percentage of incoming normal attack damage prevented. For example, 40% Mitigation means the character receives 60% of the incoming normal attack damage.</t>
  </si>
  <si>
    <t>Skill Damage</t>
  </si>
  <si>
    <t>SDMG</t>
  </si>
  <si>
    <t>SDMG = Attacker.F_SATK × (1 − SMIT)</t>
  </si>
  <si>
    <t>The actual damage received from a skill after skill mitigation is applied.</t>
  </si>
  <si>
    <t>Skill Mitigation</t>
  </si>
  <si>
    <t>SMIT</t>
  </si>
  <si>
    <t>SMIT = Target.F_SDEF / (Target.F_SDEF + K)</t>
  </si>
  <si>
    <t>The percentage of incoming skill damage prevented. For example, 40% Skill Mitigation means the character receives 60% of the incoming skill damage.</t>
  </si>
  <si>
    <t>Power Constant</t>
  </si>
  <si>
    <t>K</t>
  </si>
  <si>
    <t>A fixed reference value used to express and compare the numerical scale of stats. Stat values may be defined as multiples of K; their actual gameplay effectiveness depends on the applicable formulas.</t>
  </si>
  <si>
    <t>Term (general)</t>
  </si>
  <si>
    <t>Stat</t>
  </si>
  <si>
    <t>X</t>
  </si>
  <si>
    <t>Depends on stat</t>
  </si>
  <si>
    <t>A numerical attribute or parameter that describes a property of a character, item, or skill and is used to determine gameplay outcomes.</t>
  </si>
  <si>
    <t>Character Base Stat</t>
  </si>
  <si>
    <t>C_B_X</t>
  </si>
  <si>
    <t>Same as X</t>
  </si>
  <si>
    <t>The original value of a stat belonging to a character, before contributions from items, skills, or other sources and before any modifiers are applied.</t>
  </si>
  <si>
    <t>Item Base Stat</t>
  </si>
  <si>
    <t>I_B_X</t>
  </si>
  <si>
    <t>The original value of a stat belonging to an item, before any modifiers are applied.</t>
  </si>
  <si>
    <t>Skill Base Stat</t>
  </si>
  <si>
    <t>S_B_X</t>
  </si>
  <si>
    <t>The original value of a stat belonging to a skill, before any modifiers are applied.</t>
  </si>
  <si>
    <t>Total Base Stat</t>
  </si>
  <si>
    <t>T_B_X</t>
  </si>
  <si>
    <t>T_B_X = Σ Base Contributions</t>
  </si>
  <si>
    <t>The sum of all base contributions to the same stat type from characters, items, skills, and other applicable sources.</t>
  </si>
  <si>
    <t>Total Stat</t>
  </si>
  <si>
    <t>T_X</t>
  </si>
  <si>
    <t>T_X = T_B_X + T_INC_X</t>
  </si>
  <si>
    <t>The combined value of a stat before Stat Effectiveness is applied.</t>
  </si>
  <si>
    <t>Final Stat</t>
  </si>
  <si>
    <t>F_X</t>
  </si>
  <si>
    <t>F_X = T_X × SE</t>
  </si>
  <si>
    <t>The resulting value of a stat after Stat Effectiveness is applied to its Total Stat. Stat Effectiveness itself is excluded from this multiplication.</t>
  </si>
  <si>
    <t>Increased Stat</t>
  </si>
  <si>
    <t>INC_X</t>
  </si>
  <si>
    <t>INC_X = T_B_X × X_MOD</t>
  </si>
  <si>
    <t>The amount added to or subtracted from a stat, calculated by multiplying its Total Base Stat by the applicable percentage modifier.</t>
  </si>
  <si>
    <t>Character Increased Stat</t>
  </si>
  <si>
    <t>C_INC_X</t>
  </si>
  <si>
    <t>C_INC_X = T_B_X × C_X_MOD</t>
  </si>
  <si>
    <t>The amount added to or subtracted from a stat by character-sourced percentage modifiers, calculated using its Total Base Stat.</t>
  </si>
  <si>
    <t>Item Increased Stat</t>
  </si>
  <si>
    <t>I_INC_X</t>
  </si>
  <si>
    <t>I_INC_X = T_B_X × I_X_MOD</t>
  </si>
  <si>
    <t>The amount added to or subtracted from a stat by item-sourced percentage modifiers, calculated using its Total Base Stat, not the item's own Base Stat.</t>
  </si>
  <si>
    <t>Skill Increased Stat</t>
  </si>
  <si>
    <t>S_INC_X</t>
  </si>
  <si>
    <t>S_INC_X = T_B_X × S_X_MOD</t>
  </si>
  <si>
    <t>The amount added to or subtracted from a stat by skill-sourced percentage modifiers, calculated using its Total Base Stat.</t>
  </si>
  <si>
    <t>Total Increased Stat</t>
  </si>
  <si>
    <t>T_INC_X</t>
  </si>
  <si>
    <t>T_INC_X = Σ Increased Contributions = T_B_X × T_X_MOD</t>
  </si>
  <si>
    <t>The sum of all increases and decreases to the same stat type, calculated from its Total Base Stat and applicable percentage modifiers.</t>
  </si>
  <si>
    <t>Modifier</t>
  </si>
  <si>
    <t>MOD</t>
  </si>
  <si>
    <t>A percentage adjustment that increases or decreases a specified reference value.</t>
  </si>
  <si>
    <t>Stat Modifier</t>
  </si>
  <si>
    <t>X_MOD</t>
  </si>
  <si>
    <t>A percentage adjustment applied to the Total Base Stat of the same stat type. Its source does not change the reference value.</t>
  </si>
  <si>
    <t>Character Stat Modifier</t>
  </si>
  <si>
    <t>C_X_MOD</t>
  </si>
  <si>
    <t>A Stat Modifier provided by a character, applied to the Total Base Stat of the same stat type.</t>
  </si>
  <si>
    <t>Item Stat Modifier</t>
  </si>
  <si>
    <t>I_X_MOD</t>
  </si>
  <si>
    <t>A Stat Modifier provided by an item, applied to the Total Base Stat of the same stat type, not the item's own Base Stat.</t>
  </si>
  <si>
    <t>Skill Stat Modifier</t>
  </si>
  <si>
    <t>S_X_MOD</t>
  </si>
  <si>
    <t>A Stat Modifier provided by a skill, applied to the Total Base Stat of the same stat type.</t>
  </si>
  <si>
    <t>Total Stat Modifier</t>
  </si>
  <si>
    <t>T_X_MOD</t>
  </si>
  <si>
    <t>T_X_MOD = Σ Applicable Stat Modifiers</t>
  </si>
  <si>
    <t>The sum of all applicable Stat Modifiers for the same stat type. Modifiers stack additively, not multiplicatively.</t>
  </si>
  <si>
    <t>Trigger</t>
  </si>
  <si>
    <t>TRG</t>
  </si>
  <si>
    <t>N/A</t>
  </si>
  <si>
    <t>A specified event that initiates a check to activate an effect. The effect activates only if its required conditions and probability check are satisfied.</t>
  </si>
  <si>
    <t>Trigger Rate</t>
  </si>
  <si>
    <t>TR</t>
  </si>
  <si>
    <t>A probability that an effect activates when its trigger event occurs and all required conditions are satisfied. A separate roll is performed for each eligible trigger occurrence.</t>
  </si>
  <si>
    <t>Character</t>
  </si>
  <si>
    <t>Balance dummy</t>
  </si>
  <si>
    <t>K value</t>
  </si>
  <si>
    <t>K-relative</t>
  </si>
  <si>
    <t>CP per Stat Point</t>
  </si>
  <si>
    <t>Combat Power (CP)</t>
  </si>
  <si>
    <t>n/a</t>
  </si>
  <si>
    <t>Skill Points Above 100</t>
  </si>
  <si>
    <t>Healing Amplification Above 100%</t>
  </si>
  <si>
    <t>Stat Effectiveness Above 100%</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</si>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</sst>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2">
    <xf numFmtId="0" fontId="0" fillId="0" borderId="0" xfId="0"/>
    <xf numFmtId="178" fontId="0" fillId="0" borderId="0" xfId="1" applyNumberFormat="1" applyAlignment="1"/>
    <xf numFmtId="0" fontId="1" fillId="0" borderId="0" xfId="0" applyFont="1" applyAlignment="1">
      <alignment horizontal="center"/>
    </xf>
    <xf numFmtId="178" fontId="1" fillId="0" borderId="0" xfId="1" applyNumberFormat="1" applyFont="1" applyAlignment="1">
      <alignment horizontal="center"/>
    </xf>
    <xf numFmtId="0" fontId="0" fillId="0" borderId="0" xfId="0" applyAlignment="1"/>
    <xf numFmtId="178" fontId="0" fillId="0" borderId="0" xfId="1" applyNumberFormat="1" applyAlignment="1"/>
    <xf numFmtId="178" fontId="0" fillId="0" borderId="0" xfId="0" applyNumberFormat="1" applyAlignment="1"/>
    <xf numFmtId="9" fontId="0" fillId="0" borderId="0" xfId="3" applyAlignment="1"/>
    <xf numFmtId="9" fontId="0" fillId="0" borderId="0" xfId="3" applyNumberFormat="1" applyAlignment="1"/>
    <xf numFmtId="178" fontId="0" fillId="0" borderId="0" xfId="0" applyNumberFormat="1"/>
    <xf numFmtId="0" fontId="1" fillId="0" borderId="0" xfId="0" applyFont="1" applyAlignment="1">
      <alignment horizontal="center" wrapText="1"/>
    </xf>
    <xf numFmtId="0" fontId="0" fillId="0" borderId="1" xfId="0"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www.wps.cn/officeDocument/2023/relationships/customStorage" Target="customStorage/customStorage.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B9" sqref="B9"/>
    </sheetView>
  </sheetViews>
  <sheetFormatPr defaultColWidth="9" defaultRowHeight="15" outlineLevelCol="1"/>
  <cols>
    <col min="1" max="1" width="16.2857142857143"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2:2">
      <c r="B6" t="s">
        <v>10</v>
      </c>
    </row>
    <row r="7" spans="2:2">
      <c r="B7" t="s">
        <v>11</v>
      </c>
    </row>
    <row r="8" spans="2:2">
      <c r="B8" t="s">
        <v>12</v>
      </c>
    </row>
    <row r="9" spans="2:2">
      <c r="B9" t="s">
        <v>13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
  <sheetViews>
    <sheetView workbookViewId="0">
      <selection activeCell="A3" sqref="A3:C8"/>
    </sheetView>
  </sheetViews>
  <sheetFormatPr defaultColWidth="9.14285714285714" defaultRowHeight="15" outlineLevelRow="7" outlineLevelCol="2"/>
  <cols>
    <col min="1" max="1" width="20.1428571428571" customWidth="1"/>
    <col min="2" max="2" width="38" customWidth="1"/>
    <col min="3" max="3" width="16.8571428571429" customWidth="1"/>
  </cols>
  <sheetData>
    <row r="1" spans="1:1">
      <c r="A1" t="s">
        <v>14</v>
      </c>
    </row>
    <row r="3" spans="1:3">
      <c r="A3" t="s">
        <v>15</v>
      </c>
      <c r="B3" t="s">
        <v>16</v>
      </c>
      <c r="C3" t="s">
        <v>17</v>
      </c>
    </row>
    <row r="4" spans="1:3">
      <c r="A4" t="s">
        <v>18</v>
      </c>
      <c r="B4" t="s">
        <v>19</v>
      </c>
      <c r="C4" t="s">
        <v>20</v>
      </c>
    </row>
    <row r="5" spans="2:2">
      <c r="B5" t="s">
        <v>21</v>
      </c>
    </row>
    <row r="6" spans="2:2">
      <c r="B6" t="s">
        <v>22</v>
      </c>
    </row>
    <row r="7" spans="2:2">
      <c r="B7" t="s">
        <v>23</v>
      </c>
    </row>
    <row r="8" spans="2:2">
      <c r="B8" t="s">
        <v>24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4"/>
  <sheetViews>
    <sheetView topLeftCell="A30" workbookViewId="0">
      <selection activeCell="C50" sqref="C50"/>
    </sheetView>
  </sheetViews>
  <sheetFormatPr defaultColWidth="9.14285714285714" defaultRowHeight="15" outlineLevelCol="2"/>
  <cols>
    <col min="1" max="1" width="29.2857142857143" customWidth="1"/>
    <col min="2" max="2" width="30.5714285714286" customWidth="1"/>
    <col min="3" max="3" width="161.714285714286" customWidth="1"/>
  </cols>
  <sheetData>
    <row r="1" ht="61" customHeight="1" spans="1:3">
      <c r="A1" s="10" t="s">
        <v>25</v>
      </c>
      <c r="B1" s="10"/>
      <c r="C1" s="10"/>
    </row>
    <row r="3" spans="1:3">
      <c r="A3" s="11" t="s">
        <v>26</v>
      </c>
      <c r="B3" s="11" t="s">
        <v>27</v>
      </c>
      <c r="C3" s="11" t="s">
        <v>28</v>
      </c>
    </row>
    <row r="4" spans="1:3">
      <c r="A4" s="11" t="s">
        <v>29</v>
      </c>
      <c r="B4" s="11" t="s">
        <v>30</v>
      </c>
      <c r="C4" s="11" t="s">
        <v>31</v>
      </c>
    </row>
    <row r="5" spans="1:3">
      <c r="A5" s="11" t="s">
        <v>29</v>
      </c>
      <c r="B5" s="11" t="s">
        <v>32</v>
      </c>
      <c r="C5" s="11" t="s">
        <v>33</v>
      </c>
    </row>
    <row r="6" spans="1:3">
      <c r="A6" s="11" t="s">
        <v>29</v>
      </c>
      <c r="B6" s="11" t="s">
        <v>34</v>
      </c>
      <c r="C6" s="11" t="s">
        <v>35</v>
      </c>
    </row>
    <row r="7" spans="1:3">
      <c r="A7" s="11" t="s">
        <v>36</v>
      </c>
      <c r="B7" s="11" t="s">
        <v>37</v>
      </c>
      <c r="C7" s="11" t="s">
        <v>38</v>
      </c>
    </row>
    <row r="8" spans="1:3">
      <c r="A8" s="11" t="s">
        <v>36</v>
      </c>
      <c r="B8" s="11" t="s">
        <v>39</v>
      </c>
      <c r="C8" s="11" t="s">
        <v>40</v>
      </c>
    </row>
    <row r="9" spans="1:3">
      <c r="A9" s="11" t="s">
        <v>41</v>
      </c>
      <c r="B9" s="11" t="s">
        <v>42</v>
      </c>
      <c r="C9" s="11" t="s">
        <v>43</v>
      </c>
    </row>
    <row r="10" spans="1:3">
      <c r="A10" s="11" t="s">
        <v>41</v>
      </c>
      <c r="B10" s="11" t="s">
        <v>44</v>
      </c>
      <c r="C10" s="11" t="s">
        <v>45</v>
      </c>
    </row>
    <row r="11" spans="1:3">
      <c r="A11" s="11" t="s">
        <v>41</v>
      </c>
      <c r="B11" s="11" t="s">
        <v>46</v>
      </c>
      <c r="C11" s="11" t="s">
        <v>47</v>
      </c>
    </row>
    <row r="12" spans="1:3">
      <c r="A12" s="11" t="s">
        <v>41</v>
      </c>
      <c r="B12" s="11" t="s">
        <v>48</v>
      </c>
      <c r="C12" s="11" t="s">
        <v>49</v>
      </c>
    </row>
    <row r="13" spans="1:3">
      <c r="A13" s="11" t="s">
        <v>41</v>
      </c>
      <c r="B13" s="11" t="s">
        <v>50</v>
      </c>
      <c r="C13" s="11" t="s">
        <v>51</v>
      </c>
    </row>
    <row r="14" spans="1:3">
      <c r="A14" s="11" t="s">
        <v>41</v>
      </c>
      <c r="B14" s="11" t="s">
        <v>52</v>
      </c>
      <c r="C14" s="11" t="s">
        <v>53</v>
      </c>
    </row>
    <row r="15" spans="1:3">
      <c r="A15" s="11" t="s">
        <v>54</v>
      </c>
      <c r="B15" s="11" t="s">
        <v>55</v>
      </c>
      <c r="C15" s="11" t="s">
        <v>56</v>
      </c>
    </row>
    <row r="16" spans="1:3">
      <c r="A16" s="11" t="s">
        <v>54</v>
      </c>
      <c r="B16" s="11" t="s">
        <v>57</v>
      </c>
      <c r="C16" s="11" t="s">
        <v>58</v>
      </c>
    </row>
    <row r="17" spans="1:3">
      <c r="A17" s="11" t="s">
        <v>54</v>
      </c>
      <c r="B17" s="11" t="s">
        <v>59</v>
      </c>
      <c r="C17" s="11" t="s">
        <v>60</v>
      </c>
    </row>
    <row r="18" spans="1:3">
      <c r="A18" s="11" t="s">
        <v>61</v>
      </c>
      <c r="B18" s="11" t="s">
        <v>62</v>
      </c>
      <c r="C18" s="11" t="s">
        <v>63</v>
      </c>
    </row>
    <row r="19" spans="1:3">
      <c r="A19" s="11" t="s">
        <v>61</v>
      </c>
      <c r="B19" s="11" t="s">
        <v>64</v>
      </c>
      <c r="C19" s="11" t="s">
        <v>65</v>
      </c>
    </row>
    <row r="20" spans="1:3">
      <c r="A20" s="11" t="s">
        <v>61</v>
      </c>
      <c r="B20" s="11" t="s">
        <v>66</v>
      </c>
      <c r="C20" s="11" t="s">
        <v>67</v>
      </c>
    </row>
    <row r="21" spans="1:3">
      <c r="A21" s="11" t="s">
        <v>61</v>
      </c>
      <c r="B21" s="11" t="s">
        <v>68</v>
      </c>
      <c r="C21" s="11" t="s">
        <v>69</v>
      </c>
    </row>
    <row r="22" spans="1:3">
      <c r="A22" s="11" t="s">
        <v>61</v>
      </c>
      <c r="B22" s="11" t="s">
        <v>70</v>
      </c>
      <c r="C22" s="11" t="s">
        <v>71</v>
      </c>
    </row>
    <row r="23" spans="1:3">
      <c r="A23" s="11" t="s">
        <v>61</v>
      </c>
      <c r="B23" s="11" t="s">
        <v>72</v>
      </c>
      <c r="C23" t="s">
        <v>73</v>
      </c>
    </row>
    <row r="24" spans="1:3">
      <c r="A24" s="11" t="s">
        <v>61</v>
      </c>
      <c r="B24" s="11" t="s">
        <v>74</v>
      </c>
      <c r="C24" s="11" t="s">
        <v>75</v>
      </c>
    </row>
    <row r="25" spans="1:3">
      <c r="A25" s="11" t="s">
        <v>76</v>
      </c>
      <c r="B25" s="11" t="s">
        <v>77</v>
      </c>
      <c r="C25" s="11" t="s">
        <v>78</v>
      </c>
    </row>
    <row r="26" spans="1:3">
      <c r="A26" s="11" t="s">
        <v>76</v>
      </c>
      <c r="B26" s="11" t="s">
        <v>79</v>
      </c>
      <c r="C26" s="11" t="s">
        <v>80</v>
      </c>
    </row>
    <row r="27" spans="1:3">
      <c r="A27" s="11" t="s">
        <v>81</v>
      </c>
      <c r="B27" s="11" t="s">
        <v>82</v>
      </c>
      <c r="C27" s="11" t="s">
        <v>83</v>
      </c>
    </row>
    <row r="28" spans="1:3">
      <c r="A28" s="11" t="s">
        <v>81</v>
      </c>
      <c r="B28" s="11" t="s">
        <v>84</v>
      </c>
      <c r="C28" s="11" t="s">
        <v>85</v>
      </c>
    </row>
    <row r="29" spans="1:3">
      <c r="A29" s="11" t="s">
        <v>86</v>
      </c>
      <c r="B29" s="11" t="s">
        <v>82</v>
      </c>
      <c r="C29" s="11" t="s">
        <v>87</v>
      </c>
    </row>
    <row r="30" spans="1:3">
      <c r="A30" s="11" t="s">
        <v>86</v>
      </c>
      <c r="B30" s="11" t="s">
        <v>84</v>
      </c>
      <c r="C30" s="11" t="s">
        <v>88</v>
      </c>
    </row>
    <row r="31" spans="1:3">
      <c r="A31" s="11" t="s">
        <v>89</v>
      </c>
      <c r="B31" s="11" t="s">
        <v>82</v>
      </c>
      <c r="C31" s="11" t="s">
        <v>90</v>
      </c>
    </row>
    <row r="32" spans="1:3">
      <c r="A32" s="11" t="s">
        <v>89</v>
      </c>
      <c r="B32" s="11" t="s">
        <v>91</v>
      </c>
      <c r="C32" s="11" t="s">
        <v>92</v>
      </c>
    </row>
    <row r="33" spans="1:3">
      <c r="A33" s="11" t="s">
        <v>89</v>
      </c>
      <c r="B33" s="11" t="s">
        <v>93</v>
      </c>
      <c r="C33" s="11" t="s">
        <v>94</v>
      </c>
    </row>
    <row r="34" spans="1:3">
      <c r="A34" s="11" t="s">
        <v>89</v>
      </c>
      <c r="B34" s="11" t="s">
        <v>95</v>
      </c>
      <c r="C34" s="11" t="s">
        <v>96</v>
      </c>
    </row>
    <row r="35" spans="1:3">
      <c r="A35" s="11" t="s">
        <v>89</v>
      </c>
      <c r="B35" s="11" t="s">
        <v>97</v>
      </c>
      <c r="C35" s="11" t="s">
        <v>98</v>
      </c>
    </row>
    <row r="36" spans="1:3">
      <c r="A36" s="11" t="s">
        <v>99</v>
      </c>
      <c r="B36" s="11" t="s">
        <v>82</v>
      </c>
      <c r="C36" s="11" t="s">
        <v>100</v>
      </c>
    </row>
    <row r="37" spans="1:3">
      <c r="A37" s="11" t="s">
        <v>99</v>
      </c>
      <c r="B37" s="11" t="s">
        <v>101</v>
      </c>
      <c r="C37" s="11" t="s">
        <v>102</v>
      </c>
    </row>
    <row r="38" spans="1:3">
      <c r="A38" s="11" t="s">
        <v>99</v>
      </c>
      <c r="B38" s="11" t="s">
        <v>103</v>
      </c>
      <c r="C38" s="11" t="s">
        <v>104</v>
      </c>
    </row>
    <row r="39" spans="1:3">
      <c r="A39" s="11" t="s">
        <v>99</v>
      </c>
      <c r="B39" s="11" t="s">
        <v>105</v>
      </c>
      <c r="C39" s="11" t="s">
        <v>106</v>
      </c>
    </row>
    <row r="40" spans="1:3">
      <c r="A40" s="11" t="s">
        <v>99</v>
      </c>
      <c r="B40" s="11" t="s">
        <v>107</v>
      </c>
      <c r="C40" t="s">
        <v>108</v>
      </c>
    </row>
    <row r="41" spans="1:3">
      <c r="A41" s="11" t="s">
        <v>109</v>
      </c>
      <c r="B41" s="11" t="s">
        <v>82</v>
      </c>
      <c r="C41" s="11" t="s">
        <v>110</v>
      </c>
    </row>
    <row r="42" spans="1:3">
      <c r="A42" s="11" t="s">
        <v>109</v>
      </c>
      <c r="B42" s="11" t="s">
        <v>84</v>
      </c>
      <c r="C42" s="11" t="s">
        <v>111</v>
      </c>
    </row>
    <row r="43" spans="1:3">
      <c r="A43" s="11" t="s">
        <v>109</v>
      </c>
      <c r="B43" s="11" t="s">
        <v>112</v>
      </c>
      <c r="C43" s="11" t="s">
        <v>113</v>
      </c>
    </row>
    <row r="44" spans="1:3">
      <c r="A44" s="11" t="s">
        <v>114</v>
      </c>
      <c r="B44" s="11" t="s">
        <v>115</v>
      </c>
      <c r="C44" s="11" t="s">
        <v>116</v>
      </c>
    </row>
    <row r="45" spans="1:3">
      <c r="A45" s="11" t="s">
        <v>114</v>
      </c>
      <c r="B45" s="11" t="s">
        <v>117</v>
      </c>
      <c r="C45" s="11" t="s">
        <v>118</v>
      </c>
    </row>
    <row r="46" spans="1:3">
      <c r="A46" s="11" t="s">
        <v>114</v>
      </c>
      <c r="B46" s="11" t="s">
        <v>119</v>
      </c>
      <c r="C46" s="11" t="s">
        <v>120</v>
      </c>
    </row>
    <row r="47" spans="1:3">
      <c r="A47" s="11" t="s">
        <v>114</v>
      </c>
      <c r="B47" s="11" t="s">
        <v>121</v>
      </c>
      <c r="C47" s="11" t="s">
        <v>122</v>
      </c>
    </row>
    <row r="48" spans="1:3">
      <c r="A48" s="11" t="s">
        <v>114</v>
      </c>
      <c r="B48" s="11" t="s">
        <v>123</v>
      </c>
      <c r="C48" s="11" t="s">
        <v>124</v>
      </c>
    </row>
    <row r="49" spans="1:3">
      <c r="A49" s="11" t="s">
        <v>125</v>
      </c>
      <c r="B49" s="11" t="s">
        <v>126</v>
      </c>
      <c r="C49" s="11" t="s">
        <v>127</v>
      </c>
    </row>
    <row r="50" spans="1:3">
      <c r="A50" s="11" t="s">
        <v>128</v>
      </c>
      <c r="B50" s="11" t="s">
        <v>129</v>
      </c>
      <c r="C50" s="11" t="s">
        <v>130</v>
      </c>
    </row>
    <row r="51" spans="1:3">
      <c r="A51" s="11" t="s">
        <v>128</v>
      </c>
      <c r="B51" s="11" t="s">
        <v>131</v>
      </c>
      <c r="C51" t="s">
        <v>132</v>
      </c>
    </row>
    <row r="52" spans="1:3">
      <c r="A52" s="11" t="s">
        <v>128</v>
      </c>
      <c r="B52" s="11" t="s">
        <v>133</v>
      </c>
      <c r="C52" s="11" t="s">
        <v>134</v>
      </c>
    </row>
    <row r="53" spans="1:3">
      <c r="A53" s="11" t="s">
        <v>135</v>
      </c>
      <c r="B53" s="11" t="s">
        <v>64</v>
      </c>
      <c r="C53" s="11" t="s">
        <v>136</v>
      </c>
    </row>
    <row r="54" spans="1:3">
      <c r="A54" t="s">
        <v>135</v>
      </c>
      <c r="B54" t="s">
        <v>137</v>
      </c>
      <c r="C54" t="s">
        <v>138</v>
      </c>
    </row>
  </sheetData>
  <mergeCells count="1">
    <mergeCell ref="A1:C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4"/>
  <sheetViews>
    <sheetView zoomScale="85" zoomScaleNormal="85" workbookViewId="0">
      <selection activeCell="A6" sqref="A6:B6"/>
    </sheetView>
  </sheetViews>
  <sheetFormatPr defaultColWidth="9.14285714285714" defaultRowHeight="15" outlineLevelCol="4"/>
  <cols>
    <col min="1" max="1" width="22.5714285714286" customWidth="1"/>
    <col min="2" max="2" width="10.2857142857143" customWidth="1"/>
    <col min="3" max="3" width="16.5714285714286" customWidth="1"/>
    <col min="4" max="4" width="45.8571428571429" customWidth="1"/>
  </cols>
  <sheetData>
    <row r="1" spans="1:5">
      <c r="A1" t="s">
        <v>139</v>
      </c>
      <c r="B1" t="s">
        <v>140</v>
      </c>
      <c r="C1" t="s">
        <v>141</v>
      </c>
      <c r="D1" t="s">
        <v>142</v>
      </c>
      <c r="E1" t="s">
        <v>143</v>
      </c>
    </row>
    <row r="2" spans="1:5">
      <c r="A2" t="s">
        <v>144</v>
      </c>
      <c r="B2" t="s">
        <v>145</v>
      </c>
      <c r="C2" t="s">
        <v>146</v>
      </c>
      <c r="D2" t="s">
        <v>147</v>
      </c>
      <c r="E2" t="s">
        <v>148</v>
      </c>
    </row>
    <row r="3" spans="1:5">
      <c r="A3" t="s">
        <v>149</v>
      </c>
      <c r="B3" t="s">
        <v>150</v>
      </c>
      <c r="C3" t="s">
        <v>146</v>
      </c>
      <c r="D3" t="s">
        <v>151</v>
      </c>
      <c r="E3" t="s">
        <v>152</v>
      </c>
    </row>
    <row r="4" spans="1:5">
      <c r="A4" t="s">
        <v>153</v>
      </c>
      <c r="B4" t="s">
        <v>154</v>
      </c>
      <c r="C4" t="s">
        <v>146</v>
      </c>
      <c r="D4" t="s">
        <v>155</v>
      </c>
      <c r="E4" t="s">
        <v>156</v>
      </c>
    </row>
    <row r="5" spans="1:5">
      <c r="A5" t="s">
        <v>157</v>
      </c>
      <c r="B5" t="s">
        <v>158</v>
      </c>
      <c r="C5" t="s">
        <v>146</v>
      </c>
      <c r="D5" t="s">
        <v>159</v>
      </c>
      <c r="E5" t="s">
        <v>160</v>
      </c>
    </row>
    <row r="6" spans="1:5">
      <c r="A6" t="s">
        <v>161</v>
      </c>
      <c r="B6" t="s">
        <v>162</v>
      </c>
      <c r="C6" t="s">
        <v>146</v>
      </c>
      <c r="D6" t="s">
        <v>163</v>
      </c>
      <c r="E6" t="s">
        <v>164</v>
      </c>
    </row>
    <row r="7" spans="1:5">
      <c r="A7" t="s">
        <v>165</v>
      </c>
      <c r="B7" t="s">
        <v>166</v>
      </c>
      <c r="C7" t="s">
        <v>146</v>
      </c>
      <c r="D7" t="s">
        <v>167</v>
      </c>
      <c r="E7" t="s">
        <v>168</v>
      </c>
    </row>
    <row r="8" spans="1:5">
      <c r="A8" t="s">
        <v>169</v>
      </c>
      <c r="B8" t="s">
        <v>34</v>
      </c>
      <c r="C8" t="s">
        <v>146</v>
      </c>
      <c r="D8" t="s">
        <v>170</v>
      </c>
      <c r="E8" t="s">
        <v>171</v>
      </c>
    </row>
    <row r="9" spans="1:5">
      <c r="A9" t="s">
        <v>172</v>
      </c>
      <c r="B9" t="s">
        <v>173</v>
      </c>
      <c r="C9" t="s">
        <v>146</v>
      </c>
      <c r="D9" t="s">
        <v>174</v>
      </c>
      <c r="E9" t="s">
        <v>175</v>
      </c>
    </row>
    <row r="10" spans="1:5">
      <c r="A10" t="s">
        <v>176</v>
      </c>
      <c r="B10" t="s">
        <v>177</v>
      </c>
      <c r="C10" t="s">
        <v>146</v>
      </c>
      <c r="E10" t="s">
        <v>178</v>
      </c>
    </row>
    <row r="11" spans="1:5">
      <c r="A11" t="s">
        <v>179</v>
      </c>
      <c r="B11" t="s">
        <v>180</v>
      </c>
      <c r="C11" t="s">
        <v>181</v>
      </c>
      <c r="D11" t="s">
        <v>182</v>
      </c>
      <c r="E11" t="s">
        <v>183</v>
      </c>
    </row>
    <row r="12" spans="1:5">
      <c r="A12" t="s">
        <v>184</v>
      </c>
      <c r="B12" t="s">
        <v>185</v>
      </c>
      <c r="C12" t="s">
        <v>181</v>
      </c>
      <c r="D12" t="s">
        <v>186</v>
      </c>
      <c r="E12" t="s">
        <v>187</v>
      </c>
    </row>
    <row r="13" spans="1:5">
      <c r="A13" t="s">
        <v>188</v>
      </c>
      <c r="B13" t="s">
        <v>189</v>
      </c>
      <c r="C13" t="s">
        <v>181</v>
      </c>
      <c r="D13" t="s">
        <v>190</v>
      </c>
      <c r="E13" t="s">
        <v>191</v>
      </c>
    </row>
    <row r="14" spans="1:5">
      <c r="A14" t="s">
        <v>192</v>
      </c>
      <c r="B14" t="s">
        <v>193</v>
      </c>
      <c r="C14" t="s">
        <v>181</v>
      </c>
      <c r="D14" t="s">
        <v>194</v>
      </c>
      <c r="E14" t="s">
        <v>195</v>
      </c>
    </row>
    <row r="15" spans="1:5">
      <c r="A15" t="s">
        <v>196</v>
      </c>
      <c r="B15" t="s">
        <v>197</v>
      </c>
      <c r="C15" t="s">
        <v>181</v>
      </c>
      <c r="D15" t="s">
        <v>198</v>
      </c>
      <c r="E15" t="s">
        <v>199</v>
      </c>
    </row>
    <row r="16" spans="1:5">
      <c r="A16" t="s">
        <v>200</v>
      </c>
      <c r="B16" t="s">
        <v>201</v>
      </c>
      <c r="C16" t="s">
        <v>181</v>
      </c>
      <c r="D16" t="s">
        <v>202</v>
      </c>
      <c r="E16" t="s">
        <v>203</v>
      </c>
    </row>
    <row r="17" spans="1:5">
      <c r="A17" t="s">
        <v>204</v>
      </c>
      <c r="B17" t="s">
        <v>205</v>
      </c>
      <c r="C17" t="s">
        <v>181</v>
      </c>
      <c r="D17" t="s">
        <v>206</v>
      </c>
      <c r="E17" t="s">
        <v>207</v>
      </c>
    </row>
    <row r="19" spans="1:5">
      <c r="A19" t="s">
        <v>208</v>
      </c>
      <c r="B19" t="s">
        <v>140</v>
      </c>
      <c r="C19" t="s">
        <v>141</v>
      </c>
      <c r="D19" t="s">
        <v>142</v>
      </c>
      <c r="E19" t="s">
        <v>143</v>
      </c>
    </row>
    <row r="20" spans="1:5">
      <c r="A20" t="s">
        <v>209</v>
      </c>
      <c r="B20" t="s">
        <v>210</v>
      </c>
      <c r="C20" t="s">
        <v>181</v>
      </c>
      <c r="D20" t="s">
        <v>211</v>
      </c>
      <c r="E20" t="s">
        <v>212</v>
      </c>
    </row>
    <row r="21" spans="1:5">
      <c r="A21" t="s">
        <v>213</v>
      </c>
      <c r="B21" t="s">
        <v>214</v>
      </c>
      <c r="C21" t="s">
        <v>215</v>
      </c>
      <c r="D21" t="s">
        <v>216</v>
      </c>
      <c r="E21" t="s">
        <v>217</v>
      </c>
    </row>
    <row r="22" spans="1:5">
      <c r="A22" t="s">
        <v>218</v>
      </c>
      <c r="B22" t="s">
        <v>219</v>
      </c>
      <c r="C22" t="s">
        <v>215</v>
      </c>
      <c r="D22" t="s">
        <v>220</v>
      </c>
      <c r="E22" t="s">
        <v>221</v>
      </c>
    </row>
    <row r="23" spans="1:5">
      <c r="A23" t="s">
        <v>222</v>
      </c>
      <c r="B23" t="s">
        <v>223</v>
      </c>
      <c r="C23" t="s">
        <v>215</v>
      </c>
      <c r="D23" t="s">
        <v>224</v>
      </c>
      <c r="E23" t="s">
        <v>225</v>
      </c>
    </row>
    <row r="24" spans="1:5">
      <c r="A24" t="s">
        <v>226</v>
      </c>
      <c r="B24" t="s">
        <v>227</v>
      </c>
      <c r="C24" t="s">
        <v>228</v>
      </c>
      <c r="D24" t="s">
        <v>229</v>
      </c>
      <c r="E24" t="s">
        <v>230</v>
      </c>
    </row>
    <row r="25" spans="1:5">
      <c r="A25" t="s">
        <v>231</v>
      </c>
      <c r="B25" t="s">
        <v>232</v>
      </c>
      <c r="C25" t="s">
        <v>181</v>
      </c>
      <c r="D25" t="s">
        <v>233</v>
      </c>
      <c r="E25" t="s">
        <v>234</v>
      </c>
    </row>
    <row r="26" spans="1:5">
      <c r="A26" t="s">
        <v>235</v>
      </c>
      <c r="B26" t="s">
        <v>236</v>
      </c>
      <c r="C26" t="s">
        <v>146</v>
      </c>
      <c r="D26" t="s">
        <v>237</v>
      </c>
      <c r="E26" t="s">
        <v>238</v>
      </c>
    </row>
    <row r="27" spans="1:5">
      <c r="A27" t="s">
        <v>239</v>
      </c>
      <c r="B27" t="s">
        <v>240</v>
      </c>
      <c r="C27" t="s">
        <v>181</v>
      </c>
      <c r="D27" t="s">
        <v>241</v>
      </c>
      <c r="E27" t="s">
        <v>242</v>
      </c>
    </row>
    <row r="28" spans="1:5">
      <c r="A28" t="s">
        <v>243</v>
      </c>
      <c r="B28" t="s">
        <v>244</v>
      </c>
      <c r="C28" t="s">
        <v>146</v>
      </c>
      <c r="D28" t="s">
        <v>245</v>
      </c>
      <c r="E28" t="s">
        <v>246</v>
      </c>
    </row>
    <row r="29" spans="1:5">
      <c r="A29" t="s">
        <v>247</v>
      </c>
      <c r="B29" t="s">
        <v>248</v>
      </c>
      <c r="C29" t="s">
        <v>181</v>
      </c>
      <c r="D29" t="s">
        <v>249</v>
      </c>
      <c r="E29" t="s">
        <v>250</v>
      </c>
    </row>
    <row r="30" spans="1:5">
      <c r="A30" t="s">
        <v>251</v>
      </c>
      <c r="B30" t="s">
        <v>252</v>
      </c>
      <c r="C30" t="s">
        <v>146</v>
      </c>
      <c r="E30" t="s">
        <v>253</v>
      </c>
    </row>
    <row r="34" spans="1:5">
      <c r="A34" t="s">
        <v>254</v>
      </c>
      <c r="B34" t="s">
        <v>140</v>
      </c>
      <c r="C34" t="s">
        <v>141</v>
      </c>
      <c r="D34" t="s">
        <v>142</v>
      </c>
      <c r="E34" t="s">
        <v>143</v>
      </c>
    </row>
    <row r="35" spans="1:5">
      <c r="A35" t="s">
        <v>255</v>
      </c>
      <c r="B35" t="s">
        <v>256</v>
      </c>
      <c r="C35" t="s">
        <v>257</v>
      </c>
      <c r="E35" t="s">
        <v>258</v>
      </c>
    </row>
    <row r="36" spans="1:5">
      <c r="A36" t="s">
        <v>259</v>
      </c>
      <c r="B36" t="s">
        <v>260</v>
      </c>
      <c r="C36" t="s">
        <v>261</v>
      </c>
      <c r="E36" t="s">
        <v>262</v>
      </c>
    </row>
    <row r="37" spans="1:5">
      <c r="A37" t="s">
        <v>263</v>
      </c>
      <c r="B37" t="s">
        <v>264</v>
      </c>
      <c r="C37" t="s">
        <v>261</v>
      </c>
      <c r="E37" t="s">
        <v>265</v>
      </c>
    </row>
    <row r="38" spans="1:5">
      <c r="A38" t="s">
        <v>266</v>
      </c>
      <c r="B38" t="s">
        <v>267</v>
      </c>
      <c r="C38" t="s">
        <v>261</v>
      </c>
      <c r="E38" t="s">
        <v>268</v>
      </c>
    </row>
    <row r="39" spans="1:5">
      <c r="A39" t="s">
        <v>269</v>
      </c>
      <c r="B39" t="s">
        <v>270</v>
      </c>
      <c r="C39" t="s">
        <v>261</v>
      </c>
      <c r="D39" t="s">
        <v>271</v>
      </c>
      <c r="E39" t="s">
        <v>272</v>
      </c>
    </row>
    <row r="40" spans="1:5">
      <c r="A40" t="s">
        <v>273</v>
      </c>
      <c r="B40" t="s">
        <v>274</v>
      </c>
      <c r="C40" t="s">
        <v>261</v>
      </c>
      <c r="D40" t="s">
        <v>275</v>
      </c>
      <c r="E40" t="s">
        <v>276</v>
      </c>
    </row>
    <row r="41" spans="1:5">
      <c r="A41" t="s">
        <v>277</v>
      </c>
      <c r="B41" t="s">
        <v>278</v>
      </c>
      <c r="C41" t="s">
        <v>261</v>
      </c>
      <c r="D41" t="s">
        <v>279</v>
      </c>
      <c r="E41" t="s">
        <v>280</v>
      </c>
    </row>
    <row r="42" spans="1:5">
      <c r="A42" t="s">
        <v>281</v>
      </c>
      <c r="B42" t="s">
        <v>282</v>
      </c>
      <c r="C42" t="s">
        <v>261</v>
      </c>
      <c r="D42" t="s">
        <v>283</v>
      </c>
      <c r="E42" t="s">
        <v>284</v>
      </c>
    </row>
    <row r="43" spans="1:5">
      <c r="A43" t="s">
        <v>285</v>
      </c>
      <c r="B43" t="s">
        <v>286</v>
      </c>
      <c r="C43" t="s">
        <v>261</v>
      </c>
      <c r="D43" t="s">
        <v>287</v>
      </c>
      <c r="E43" t="s">
        <v>288</v>
      </c>
    </row>
    <row r="44" spans="1:5">
      <c r="A44" t="s">
        <v>289</v>
      </c>
      <c r="B44" t="s">
        <v>290</v>
      </c>
      <c r="C44" t="s">
        <v>261</v>
      </c>
      <c r="D44" t="s">
        <v>291</v>
      </c>
      <c r="E44" t="s">
        <v>292</v>
      </c>
    </row>
    <row r="45" spans="1:5">
      <c r="A45" t="s">
        <v>293</v>
      </c>
      <c r="B45" t="s">
        <v>294</v>
      </c>
      <c r="C45" t="s">
        <v>261</v>
      </c>
      <c r="D45" t="s">
        <v>295</v>
      </c>
      <c r="E45" t="s">
        <v>296</v>
      </c>
    </row>
    <row r="46" spans="1:5">
      <c r="A46" t="s">
        <v>297</v>
      </c>
      <c r="B46" t="s">
        <v>298</v>
      </c>
      <c r="C46" t="s">
        <v>261</v>
      </c>
      <c r="D46" t="s">
        <v>299</v>
      </c>
      <c r="E46" t="s">
        <v>300</v>
      </c>
    </row>
    <row r="47" spans="1:5">
      <c r="A47" t="s">
        <v>301</v>
      </c>
      <c r="B47" t="s">
        <v>302</v>
      </c>
      <c r="C47" t="s">
        <v>181</v>
      </c>
      <c r="E47" t="s">
        <v>303</v>
      </c>
    </row>
    <row r="48" spans="1:5">
      <c r="A48" t="s">
        <v>304</v>
      </c>
      <c r="B48" t="s">
        <v>305</v>
      </c>
      <c r="C48" t="s">
        <v>181</v>
      </c>
      <c r="E48" t="s">
        <v>306</v>
      </c>
    </row>
    <row r="49" spans="1:5">
      <c r="A49" t="s">
        <v>307</v>
      </c>
      <c r="B49" t="s">
        <v>308</v>
      </c>
      <c r="C49" t="s">
        <v>181</v>
      </c>
      <c r="E49" t="s">
        <v>309</v>
      </c>
    </row>
    <row r="50" spans="1:5">
      <c r="A50" t="s">
        <v>310</v>
      </c>
      <c r="B50" t="s">
        <v>311</v>
      </c>
      <c r="C50" t="s">
        <v>181</v>
      </c>
      <c r="E50" t="s">
        <v>312</v>
      </c>
    </row>
    <row r="51" spans="1:5">
      <c r="A51" t="s">
        <v>313</v>
      </c>
      <c r="B51" t="s">
        <v>314</v>
      </c>
      <c r="C51" t="s">
        <v>181</v>
      </c>
      <c r="E51" t="s">
        <v>315</v>
      </c>
    </row>
    <row r="52" spans="1:5">
      <c r="A52" t="s">
        <v>316</v>
      </c>
      <c r="B52" t="s">
        <v>317</v>
      </c>
      <c r="C52" t="s">
        <v>181</v>
      </c>
      <c r="D52" t="s">
        <v>318</v>
      </c>
      <c r="E52" t="s">
        <v>319</v>
      </c>
    </row>
    <row r="53" spans="1:5">
      <c r="A53" t="s">
        <v>320</v>
      </c>
      <c r="B53" t="s">
        <v>321</v>
      </c>
      <c r="C53" t="s">
        <v>322</v>
      </c>
      <c r="E53" t="s">
        <v>323</v>
      </c>
    </row>
    <row r="54" spans="1:5">
      <c r="A54" t="s">
        <v>324</v>
      </c>
      <c r="B54" t="s">
        <v>325</v>
      </c>
      <c r="C54" t="s">
        <v>181</v>
      </c>
      <c r="E54" t="s">
        <v>326</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18"/>
  <sheetViews>
    <sheetView tabSelected="1" workbookViewId="0">
      <selection activeCell="H17" sqref="H17"/>
    </sheetView>
  </sheetViews>
  <sheetFormatPr defaultColWidth="9.14285714285714" defaultRowHeight="15" outlineLevelCol="5"/>
  <cols>
    <col min="1" max="1" width="29.7142857142857" customWidth="1"/>
    <col min="2" max="3" width="16.2857142857143" style="1" customWidth="1"/>
    <col min="4" max="4" width="10.2857142857143" style="1" customWidth="1"/>
    <col min="5" max="5" width="17" style="1" customWidth="1"/>
    <col min="6" max="6" width="24.5714285714286" customWidth="1"/>
  </cols>
  <sheetData>
    <row r="2" spans="1:6">
      <c r="A2" s="2" t="s">
        <v>327</v>
      </c>
      <c r="B2" s="3" t="s">
        <v>328</v>
      </c>
      <c r="C2" s="3" t="s">
        <v>329</v>
      </c>
      <c r="D2" s="3" t="s">
        <v>330</v>
      </c>
      <c r="E2" t="s">
        <v>331</v>
      </c>
      <c r="F2" s="1" t="s">
        <v>332</v>
      </c>
    </row>
    <row r="3" spans="1:6">
      <c r="A3" s="4" t="s">
        <v>145</v>
      </c>
      <c r="B3" s="5">
        <f t="shared" ref="B3:B8" si="0">C3*D3</f>
        <v>20000</v>
      </c>
      <c r="C3" s="5">
        <v>1000</v>
      </c>
      <c r="D3" s="5">
        <v>20</v>
      </c>
      <c r="E3" s="1">
        <v>10</v>
      </c>
      <c r="F3" s="6">
        <f>E3*B3</f>
        <v>200000</v>
      </c>
    </row>
    <row r="4" spans="1:6">
      <c r="A4" s="4" t="s">
        <v>150</v>
      </c>
      <c r="B4" s="5">
        <f t="shared" si="0"/>
        <v>20000</v>
      </c>
      <c r="C4" s="5">
        <v>1000</v>
      </c>
      <c r="D4" s="5">
        <v>20</v>
      </c>
      <c r="E4" s="1">
        <v>10</v>
      </c>
      <c r="F4" s="6">
        <f>E4*B4</f>
        <v>200000</v>
      </c>
    </row>
    <row r="5" spans="1:6">
      <c r="A5" s="4" t="s">
        <v>153</v>
      </c>
      <c r="B5" s="5">
        <f t="shared" si="0"/>
        <v>2000</v>
      </c>
      <c r="C5" s="5">
        <v>1000</v>
      </c>
      <c r="D5" s="5">
        <v>2</v>
      </c>
      <c r="E5">
        <v>100</v>
      </c>
      <c r="F5" s="6">
        <f>E5*B5</f>
        <v>200000</v>
      </c>
    </row>
    <row r="6" spans="1:6">
      <c r="A6" s="4" t="s">
        <v>157</v>
      </c>
      <c r="B6" s="5">
        <f t="shared" si="0"/>
        <v>1000</v>
      </c>
      <c r="C6" s="5">
        <v>1000</v>
      </c>
      <c r="D6" s="5">
        <v>1</v>
      </c>
      <c r="E6" s="1">
        <v>100</v>
      </c>
      <c r="F6" s="6">
        <f>E6*B6</f>
        <v>100000</v>
      </c>
    </row>
    <row r="7" spans="1:6">
      <c r="A7" s="4" t="s">
        <v>161</v>
      </c>
      <c r="B7" s="5">
        <v>3000</v>
      </c>
      <c r="C7" s="5">
        <v>1000</v>
      </c>
      <c r="D7" s="5">
        <v>3</v>
      </c>
      <c r="E7" s="1">
        <v>100</v>
      </c>
      <c r="F7" s="6">
        <f>E7*B7</f>
        <v>300000</v>
      </c>
    </row>
    <row r="8" spans="1:6">
      <c r="A8" s="4" t="s">
        <v>165</v>
      </c>
      <c r="B8" s="5">
        <v>1000</v>
      </c>
      <c r="C8" s="5">
        <v>1000</v>
      </c>
      <c r="D8" s="5">
        <v>1</v>
      </c>
      <c r="E8" s="1">
        <v>150</v>
      </c>
      <c r="F8" s="6">
        <f>E8*B8</f>
        <v>150000</v>
      </c>
    </row>
    <row r="9" spans="1:6">
      <c r="A9" s="4" t="s">
        <v>172</v>
      </c>
      <c r="B9" s="5">
        <v>100</v>
      </c>
      <c r="C9" s="5" t="s">
        <v>333</v>
      </c>
      <c r="D9" s="5" t="s">
        <v>333</v>
      </c>
      <c r="E9" s="1">
        <v>2000</v>
      </c>
      <c r="F9" s="6">
        <f>E9*B9</f>
        <v>200000</v>
      </c>
    </row>
    <row r="10" spans="1:6">
      <c r="A10" t="s">
        <v>334</v>
      </c>
      <c r="B10" s="5">
        <v>0</v>
      </c>
      <c r="C10" s="5" t="s">
        <v>333</v>
      </c>
      <c r="D10" s="5" t="s">
        <v>333</v>
      </c>
      <c r="E10" s="1">
        <v>6000</v>
      </c>
      <c r="F10" s="6">
        <f>E10*B10</f>
        <v>0</v>
      </c>
    </row>
    <row r="11" spans="1:6">
      <c r="A11" s="4" t="s">
        <v>179</v>
      </c>
      <c r="B11" s="7">
        <v>0</v>
      </c>
      <c r="C11" s="5" t="s">
        <v>333</v>
      </c>
      <c r="D11" s="5" t="s">
        <v>333</v>
      </c>
      <c r="E11" s="1">
        <v>1000</v>
      </c>
      <c r="F11" s="6">
        <f>E11*B11</f>
        <v>0</v>
      </c>
    </row>
    <row r="12" spans="1:6">
      <c r="A12" s="4" t="s">
        <v>184</v>
      </c>
      <c r="B12" s="7">
        <v>0.5</v>
      </c>
      <c r="C12" s="5" t="s">
        <v>333</v>
      </c>
      <c r="D12" s="5" t="s">
        <v>333</v>
      </c>
      <c r="E12" s="1">
        <v>500</v>
      </c>
      <c r="F12" s="6">
        <f>E12*B12*100</f>
        <v>25000</v>
      </c>
    </row>
    <row r="13" spans="1:6">
      <c r="A13" s="4" t="s">
        <v>188</v>
      </c>
      <c r="B13" s="7">
        <v>1</v>
      </c>
      <c r="C13" s="5" t="s">
        <v>333</v>
      </c>
      <c r="D13" s="5" t="s">
        <v>333</v>
      </c>
      <c r="E13" s="1">
        <v>2000</v>
      </c>
      <c r="F13" s="6">
        <f>E13*B13*100</f>
        <v>200000</v>
      </c>
    </row>
    <row r="14" spans="1:6">
      <c r="A14" s="4" t="s">
        <v>192</v>
      </c>
      <c r="B14" s="7">
        <v>1</v>
      </c>
      <c r="C14" s="5" t="s">
        <v>333</v>
      </c>
      <c r="D14" s="5" t="s">
        <v>333</v>
      </c>
      <c r="E14" s="1">
        <v>2000</v>
      </c>
      <c r="F14" s="6">
        <f>E14*B14*100</f>
        <v>200000</v>
      </c>
    </row>
    <row r="15" spans="1:6">
      <c r="A15" s="4" t="s">
        <v>196</v>
      </c>
      <c r="B15" s="8">
        <v>0</v>
      </c>
      <c r="C15" s="5" t="s">
        <v>333</v>
      </c>
      <c r="D15" s="5" t="s">
        <v>333</v>
      </c>
      <c r="E15" s="1">
        <v>2000</v>
      </c>
      <c r="F15" s="6">
        <f>E15*B15*100</f>
        <v>0</v>
      </c>
    </row>
    <row r="16" spans="1:6">
      <c r="A16" s="4" t="s">
        <v>335</v>
      </c>
      <c r="B16" s="8">
        <v>0</v>
      </c>
      <c r="C16" s="5" t="s">
        <v>333</v>
      </c>
      <c r="D16" s="5" t="s">
        <v>333</v>
      </c>
      <c r="E16" s="1">
        <v>2000</v>
      </c>
      <c r="F16" s="6">
        <f>E16*B16*100</f>
        <v>0</v>
      </c>
    </row>
    <row r="17" spans="1:6">
      <c r="A17" t="s">
        <v>336</v>
      </c>
      <c r="B17" s="8">
        <v>0</v>
      </c>
      <c r="C17" s="5" t="s">
        <v>333</v>
      </c>
      <c r="D17" s="5" t="s">
        <v>333</v>
      </c>
      <c r="E17" s="1">
        <v>46000</v>
      </c>
      <c r="F17" s="6">
        <f>E17*B17*100</f>
        <v>0</v>
      </c>
    </row>
    <row r="18" spans="1:6">
      <c r="A18" t="s">
        <v>337</v>
      </c>
      <c r="F18" s="9">
        <f>SUM(F3:F17)</f>
        <v>1775000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6</vt:i4>
      </vt:variant>
    </vt:vector>
  </HeadingPairs>
  <TitlesOfParts>
    <vt:vector size="6" baseType="lpstr">
      <vt:lpstr>Ý tưởng chung</vt:lpstr>
      <vt:lpstr>Giai đoạn phát triên</vt:lpstr>
      <vt:lpstr>Combat mechanic</vt:lpstr>
      <vt:lpstr>Term</vt:lpstr>
      <vt:lpstr>Balanced dummy</vt:lpstr>
      <vt:lpstr>Formula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2026-10-10T00:01:00Z</dcterms:created>
  <dcterms:modified xsi:type="dcterms:W3CDTF">2026-10-16T10:15:38Z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D61A04A6F72B4F3E94F4E259A7C78199_12</vt:lpwstr>
  </property>
  <property fmtid="{D5CDD505-2E9C-101B-9397-08002B2CF9AE}" pid="3" name="KSOProductBuildVer">
    <vt:lpwstr>1033-12.9.0.21549</vt:lpwstr>
  </property>
</Properties>
</file>