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7945" windowHeight="12180" tabRatio="600" firstSheet="0" activeTab="6" autoFilterDateGrouping="1"/>
  </bookViews>
  <sheets>
    <sheet xmlns:r="http://schemas.openxmlformats.org/officeDocument/2006/relationships" name="Ý tưởng chung" sheetId="1" state="visible" r:id="rId1"/>
    <sheet xmlns:r="http://schemas.openxmlformats.org/officeDocument/2006/relationships" name="Giai đoạn phát triên" sheetId="2" state="visible" r:id="rId2"/>
    <sheet xmlns:r="http://schemas.openxmlformats.org/officeDocument/2006/relationships" name="Combat mechanic" sheetId="3" state="visible" r:id="rId3"/>
    <sheet xmlns:r="http://schemas.openxmlformats.org/officeDocument/2006/relationships" name="Term" sheetId="4" state="visible" r:id="rId4"/>
    <sheet xmlns:r="http://schemas.openxmlformats.org/officeDocument/2006/relationships" name="Balanced dummy" sheetId="5" state="visible" r:id="rId5"/>
    <sheet xmlns:r="http://schemas.openxmlformats.org/officeDocument/2006/relationships" name="Formula" sheetId="6" state="visible" r:id="rId6"/>
    <sheet xmlns:r="http://schemas.openxmlformats.org/officeDocument/2006/relationships" name="Combat demo" sheetId="7" state="visible" r:id="rId7"/>
  </sheets>
  <definedNames>
    <definedName name="_xlnm._FilterDatabase" localSheetId="6" hidden="1">'Combat demo'!$A$40:$P$140</definedName>
    <definedName name="_xlnm.Print_Titles" localSheetId="6">'Combat demo'!$40:$40</definedName>
    <definedName name="_xlnm.Print_Area" localSheetId="6">'Combat demo'!$A$1:$P$140</definedName>
  </definedNames>
  <calcPr calcId="0" fullCalcOnLoad="1" forceFullCalc="1"/>
</workbook>
</file>

<file path=xl/styles.xml><?xml version="1.0" encoding="utf-8"?>
<styleSheet xmlns="http://schemas.openxmlformats.org/spreadsheetml/2006/main">
  <numFmts count="4">
    <numFmt numFmtId="164" formatCode="_ * #,##0_ ;_ * \-#,##0_ ;_ * &quot;-&quot;??_ ;_ @_ "/>
    <numFmt numFmtId="165" formatCode="_ * #,##0.00_ ;_ * \-#,##0.00_ ;_ * &quot;-&quot;??_ ;_ @_ "/>
    <numFmt numFmtId="166" formatCode="_ * #,##0_ ;_ * \-#,##0_ ;_ * &quot;-&quot;_ ;_ @_ "/>
    <numFmt numFmtId="167" formatCode="#,##0.00;[Red]-#,##0.00;0"/>
  </numFmts>
  <fonts count="25">
    <font>
      <name val="Calibri"/>
      <charset val="134"/>
      <color theme="1"/>
      <sz val="11"/>
      <scheme val="minor"/>
    </font>
    <font>
      <name val="Calibri"/>
      <charset val="134"/>
      <b val="1"/>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
      <name val="Calibri"/>
      <b val="1"/>
      <color rgb="00FFFFFF"/>
      <sz val="14"/>
    </font>
    <font>
      <name val="Calibri"/>
      <color rgb="00344054"/>
      <sz val="11"/>
    </font>
    <font>
      <b val="1"/>
      <color rgb="00FFFFFF"/>
    </font>
    <font>
      <name val="Calibri"/>
      <sz val="11"/>
    </font>
  </fonts>
  <fills count="38">
    <fill>
      <patternFill/>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rgb="0017365D"/>
      </patternFill>
    </fill>
    <fill>
      <patternFill patternType="solid">
        <fgColor rgb="00167D8D"/>
      </patternFill>
    </fill>
    <fill>
      <patternFill patternType="solid">
        <fgColor rgb="00EAF1FB"/>
      </patternFill>
    </fill>
    <fill>
      <patternFill patternType="solid">
        <fgColor rgb="00E8F3F5"/>
      </patternFill>
    </fill>
    <fill>
      <patternFill patternType="solid">
        <fgColor rgb="00F2F7FA"/>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65" fontId="0" fillId="0" borderId="0" applyAlignment="1">
      <alignment vertical="center"/>
    </xf>
    <xf numFmtId="44" fontId="0" fillId="0" borderId="0" applyAlignment="1">
      <alignment vertical="center"/>
    </xf>
    <xf numFmtId="9" fontId="0" fillId="0" borderId="0" applyAlignment="1">
      <alignment vertical="center"/>
    </xf>
    <xf numFmtId="166" fontId="0" fillId="0" borderId="0" applyAlignment="1">
      <alignment vertical="center"/>
    </xf>
    <xf numFmtId="42" fontId="0" fillId="0" borderId="0" applyAlignment="1">
      <alignment vertical="center"/>
    </xf>
    <xf numFmtId="0" fontId="2" fillId="0" borderId="0" applyAlignment="1">
      <alignment vertical="center"/>
    </xf>
    <xf numFmtId="0" fontId="3" fillId="0" borderId="0" applyAlignment="1">
      <alignment vertical="center"/>
    </xf>
    <xf numFmtId="0" fontId="0" fillId="2" borderId="2" applyAlignment="1">
      <alignment vertical="center"/>
    </xf>
    <xf numFmtId="0" fontId="4" fillId="0" borderId="0" applyAlignment="1">
      <alignment vertical="center"/>
    </xf>
    <xf numFmtId="0" fontId="5" fillId="0" borderId="0" applyAlignment="1">
      <alignment vertical="center"/>
    </xf>
    <xf numFmtId="0" fontId="6" fillId="0" borderId="0" applyAlignment="1">
      <alignment vertical="center"/>
    </xf>
    <xf numFmtId="0" fontId="7" fillId="0" borderId="3" applyAlignment="1">
      <alignment vertical="center"/>
    </xf>
    <xf numFmtId="0" fontId="8" fillId="0" borderId="3" applyAlignment="1">
      <alignment vertical="center"/>
    </xf>
    <xf numFmtId="0" fontId="9" fillId="0" borderId="4" applyAlignment="1">
      <alignment vertical="center"/>
    </xf>
    <xf numFmtId="0" fontId="9" fillId="0" borderId="0" applyAlignment="1">
      <alignment vertical="center"/>
    </xf>
    <xf numFmtId="0" fontId="10" fillId="3" borderId="5" applyAlignment="1">
      <alignment vertical="center"/>
    </xf>
    <xf numFmtId="0" fontId="11" fillId="4" borderId="6" applyAlignment="1">
      <alignment vertical="center"/>
    </xf>
    <xf numFmtId="0" fontId="12" fillId="4" borderId="5" applyAlignment="1">
      <alignment vertical="center"/>
    </xf>
    <xf numFmtId="0" fontId="13" fillId="5" borderId="7" applyAlignment="1">
      <alignment vertical="center"/>
    </xf>
    <xf numFmtId="0" fontId="14" fillId="0" borderId="8" applyAlignment="1">
      <alignment vertical="center"/>
    </xf>
    <xf numFmtId="0" fontId="15" fillId="0" borderId="9" applyAlignment="1">
      <alignment vertical="center"/>
    </xf>
    <xf numFmtId="0" fontId="16" fillId="6" borderId="0" applyAlignment="1">
      <alignment vertical="center"/>
    </xf>
    <xf numFmtId="0" fontId="17" fillId="7" borderId="0" applyAlignment="1">
      <alignment vertical="center"/>
    </xf>
    <xf numFmtId="0" fontId="18" fillId="8" borderId="0" applyAlignment="1">
      <alignment vertical="center"/>
    </xf>
    <xf numFmtId="0" fontId="19" fillId="9" borderId="0" applyAlignment="1">
      <alignment vertical="center"/>
    </xf>
    <xf numFmtId="0" fontId="20" fillId="10" borderId="0" applyAlignment="1">
      <alignment vertical="center"/>
    </xf>
    <xf numFmtId="0" fontId="20" fillId="11" borderId="0" applyAlignment="1">
      <alignment vertical="center"/>
    </xf>
    <xf numFmtId="0" fontId="19" fillId="12" borderId="0" applyAlignment="1">
      <alignment vertical="center"/>
    </xf>
    <xf numFmtId="0" fontId="19" fillId="13" borderId="0" applyAlignment="1">
      <alignment vertical="center"/>
    </xf>
    <xf numFmtId="0" fontId="20" fillId="14" borderId="0" applyAlignment="1">
      <alignment vertical="center"/>
    </xf>
    <xf numFmtId="0" fontId="20" fillId="15" borderId="0" applyAlignment="1">
      <alignment vertical="center"/>
    </xf>
    <xf numFmtId="0" fontId="19" fillId="16" borderId="0" applyAlignment="1">
      <alignment vertical="center"/>
    </xf>
    <xf numFmtId="0" fontId="19" fillId="17" borderId="0" applyAlignment="1">
      <alignment vertical="center"/>
    </xf>
    <xf numFmtId="0" fontId="20" fillId="18" borderId="0" applyAlignment="1">
      <alignment vertical="center"/>
    </xf>
    <xf numFmtId="0" fontId="20" fillId="19" borderId="0" applyAlignment="1">
      <alignment vertical="center"/>
    </xf>
    <xf numFmtId="0" fontId="19" fillId="20" borderId="0" applyAlignment="1">
      <alignment vertical="center"/>
    </xf>
    <xf numFmtId="0" fontId="19" fillId="21" borderId="0" applyAlignment="1">
      <alignment vertical="center"/>
    </xf>
    <xf numFmtId="0" fontId="20" fillId="22" borderId="0" applyAlignment="1">
      <alignment vertical="center"/>
    </xf>
    <xf numFmtId="0" fontId="20" fillId="23" borderId="0" applyAlignment="1">
      <alignment vertical="center"/>
    </xf>
    <xf numFmtId="0" fontId="19" fillId="24" borderId="0" applyAlignment="1">
      <alignment vertical="center"/>
    </xf>
    <xf numFmtId="0" fontId="19" fillId="25" borderId="0" applyAlignment="1">
      <alignment vertical="center"/>
    </xf>
    <xf numFmtId="0" fontId="20" fillId="26" borderId="0" applyAlignment="1">
      <alignment vertical="center"/>
    </xf>
    <xf numFmtId="0" fontId="20" fillId="27" borderId="0" applyAlignment="1">
      <alignment vertical="center"/>
    </xf>
    <xf numFmtId="0" fontId="19" fillId="28" borderId="0" applyAlignment="1">
      <alignment vertical="center"/>
    </xf>
    <xf numFmtId="0" fontId="19" fillId="29" borderId="0" applyAlignment="1">
      <alignment vertical="center"/>
    </xf>
    <xf numFmtId="0" fontId="20" fillId="30" borderId="0" applyAlignment="1">
      <alignment vertical="center"/>
    </xf>
    <xf numFmtId="0" fontId="20" fillId="31" borderId="0" applyAlignment="1">
      <alignment vertical="center"/>
    </xf>
    <xf numFmtId="0" fontId="19" fillId="32" borderId="0" applyAlignment="1">
      <alignment vertical="center"/>
    </xf>
  </cellStyleXfs>
  <cellXfs count="31">
    <xf numFmtId="0" fontId="0" fillId="0" borderId="0" pivotButton="0" quotePrefix="0" xfId="0"/>
    <xf numFmtId="164" fontId="0" fillId="0" borderId="0" pivotButton="0" quotePrefix="0" xfId="1"/>
    <xf numFmtId="0" fontId="1" fillId="0" borderId="0" applyAlignment="1" pivotButton="0" quotePrefix="0" xfId="0">
      <alignment horizontal="center"/>
    </xf>
    <xf numFmtId="164" fontId="1" fillId="0" borderId="0" applyAlignment="1" pivotButton="0" quotePrefix="0" xfId="1">
      <alignment horizontal="center"/>
    </xf>
    <xf numFmtId="0" fontId="0" fillId="0" borderId="0" pivotButton="0" quotePrefix="0" xfId="0"/>
    <xf numFmtId="164" fontId="0" fillId="0" borderId="0" pivotButton="0" quotePrefix="0" xfId="1"/>
    <xf numFmtId="164" fontId="0" fillId="0" borderId="0" pivotButton="0" quotePrefix="0" xfId="0"/>
    <xf numFmtId="9" fontId="0" fillId="0" borderId="0" pivotButton="0" quotePrefix="0" xfId="3"/>
    <xf numFmtId="9" fontId="0" fillId="0" borderId="0" pivotButton="0" quotePrefix="0" xfId="3"/>
    <xf numFmtId="164" fontId="0" fillId="0" borderId="0" pivotButton="0" quotePrefix="0" xfId="0"/>
    <xf numFmtId="0" fontId="1" fillId="0" borderId="0" applyAlignment="1" pivotButton="0" quotePrefix="0" xfId="0">
      <alignment horizontal="center" wrapText="1"/>
    </xf>
    <xf numFmtId="0" fontId="0" fillId="0" borderId="1" pivotButton="0" quotePrefix="0" xfId="0"/>
    <xf numFmtId="164" fontId="0" fillId="0" borderId="0" pivotButton="0" quotePrefix="0" xfId="1"/>
    <xf numFmtId="164" fontId="1" fillId="0" borderId="0" applyAlignment="1" pivotButton="0" quotePrefix="0" xfId="1">
      <alignment horizontal="center"/>
    </xf>
    <xf numFmtId="164" fontId="0" fillId="0" borderId="0" pivotButton="0" quotePrefix="0" xfId="0"/>
    <xf numFmtId="0" fontId="21" fillId="33" borderId="0" applyAlignment="1" pivotButton="0" quotePrefix="0" xfId="0">
      <alignment vertical="center" wrapText="1"/>
    </xf>
    <xf numFmtId="0" fontId="22" fillId="0" borderId="0" applyAlignment="1" pivotButton="0" quotePrefix="0" xfId="0">
      <alignment vertical="center" wrapText="1"/>
    </xf>
    <xf numFmtId="0" fontId="23" fillId="34" borderId="0" pivotButton="0" quotePrefix="0" xfId="0"/>
    <xf numFmtId="167" fontId="0" fillId="35" borderId="0" pivotButton="0" quotePrefix="0" xfId="0"/>
    <xf numFmtId="0" fontId="0" fillId="0" borderId="0" applyAlignment="1" pivotButton="0" quotePrefix="0" xfId="0">
      <alignment vertical="center" wrapText="1"/>
    </xf>
    <xf numFmtId="10" fontId="0" fillId="35" borderId="0" pivotButton="0" quotePrefix="0" xfId="0"/>
    <xf numFmtId="167" fontId="0" fillId="36" borderId="0" pivotButton="0" quotePrefix="0" xfId="0"/>
    <xf numFmtId="10" fontId="0" fillId="36" borderId="0" pivotButton="0" quotePrefix="0" xfId="0"/>
    <xf numFmtId="0" fontId="0" fillId="35" borderId="0" pivotButton="0" quotePrefix="0" xfId="0"/>
    <xf numFmtId="0" fontId="21" fillId="34" borderId="0" applyAlignment="1" pivotButton="0" quotePrefix="0" xfId="0">
      <alignment vertical="center" wrapText="1"/>
    </xf>
    <xf numFmtId="0" fontId="0" fillId="36" borderId="0" pivotButton="0" quotePrefix="0" xfId="0"/>
    <xf numFmtId="0" fontId="23" fillId="33" borderId="0" applyAlignment="1" pivotButton="0" quotePrefix="0" xfId="0">
      <alignment horizontal="center" vertical="center" wrapText="1"/>
    </xf>
    <xf numFmtId="167" fontId="24" fillId="37" borderId="0" applyAlignment="1" pivotButton="0" quotePrefix="0" xfId="0">
      <alignment horizontal="right" vertical="center"/>
    </xf>
    <xf numFmtId="0" fontId="24" fillId="37" borderId="0" applyAlignment="1" pivotButton="0" quotePrefix="0" xfId="0">
      <alignment horizontal="left" vertical="center"/>
    </xf>
    <xf numFmtId="167" fontId="24" fillId="0" borderId="0" applyAlignment="1" pivotButton="0" quotePrefix="0" xfId="0">
      <alignment horizontal="right" vertical="center"/>
    </xf>
    <xf numFmtId="0" fontId="24" fillId="0" borderId="0"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
    <dxf>
      <fill>
        <patternFill patternType="solid">
          <fgColor rgb="00FEE4E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ns0:worksheet xmlns:ns0="http://schemas.openxmlformats.org/spreadsheetml/2006/main">
  <ns0:sheetPr>
    <ns0:outlinePr summaryBelow="1" summaryRight="1"/>
    <ns0:pageSetUpPr/>
  </ns0:sheetPr>
  <ns0:dimension ref="A1:B9"/>
  <ns0:sheetViews>
    <ns0:sheetView workbookViewId="0">
      <ns0:selection activeCell="B9" sqref="B9"/>
    </ns0:sheetView>
  </ns0:sheetViews>
  <ns0:sheetFormatPr baseColWidth="8" defaultColWidth="9" defaultRowHeight="15"/>
  <ns0:cols>
    <ns0:col width="16.2857142857143" customWidth="1" style="4" min="1" max="1"/>
  </ns0:cols>
  <ns0:sheetData>
    <ns0:row r="1">
      <ns0:c r="A1" t="inlineStr">
        <ns0:is>
          <ns0:t>Tên game</ns0:t>
        </ns0:is>
      </ns0:c>
      <ns0:c r="B1" t="inlineStr">
        <ns0:is>
          <ns0:t>Avatar war (dự kiến)</ns0:t>
        </ns0:is>
      </ns0:c>
    </ns0:row>
    <ns0:row r="2">
      <ns0:c r="A2" t="inlineStr">
        <ns0:is>
          <ns0:t>Thể loại</ns0:t>
        </ns0:is>
      </ns0:c>
      <ns0:c r="B2" t="inlineStr">
        <ns0:is>
          <ns0:t>turn base strategy</ns0:t>
        </ns0:is>
      </ns0:c>
    </ns0:row>
    <ns0:row r="3">
      <ns0:c r="A3" t="inlineStr">
        <ns0:is>
          <ns0:t>Đồ họa</ns0:t>
        </ns0:is>
      </ns0:c>
      <ns0:c r="B3" t="inlineStr">
        <ns0:is>
          <ns0:t>chưa xác định 2d, 3d hay 2.5d</ns0:t>
        </ns0:is>
      </ns0:c>
    </ns0:row>
    <ns0:row r="4">
      <ns0:c r="A4" t="inlineStr">
        <ns0:is>
          <ns0:t>Ý tưởng</ns0:t>
        </ns0:is>
      </ns0:c>
      <ns0:c r="B4" t="inlineStr">
        <ns0:is>
          <ns0:t>lấy ý tưởng combat turn base từ game Atlantica</ns0:t>
        </ns0:is>
      </ns0:c>
    </ns0:row>
    <ns0:row r="5">
      <ns0:c r="A5" t="inlineStr">
        <ns0:is>
          <ns0:t>Mô tả chiến đấu</ns0:t>
        </ns0:is>
      </ns0:c>
      <ns0:c r="B5" t="inlineStr">
        <ns0:is>
          <ns0:t xml:space="preserve">Đội hình 3x3 đối diện nhau </ns0:t>
        </ns0:is>
      </ns0:c>
    </ns0:row>
    <ns0:row r="6">
      <ns0:c r="B6" t="inlineStr">
        <ns0:is>
          <ns0:t>Đội hình gồm nhân vật chính (main) và 8 nhân vật phụ (avatar)</ns0:t>
        </ns0:is>
      </ns0:c>
    </ns0:row>
    <ns0:row r="7">
      <ns0:c r="B7" t="inlineStr">
        <ns0:is>
          <ns0:t>Các avatar sẽ có các chỉ số, vai trò khác nhau</ns0:t>
        </ns0:is>
      </ns0:c>
    </ns0:row>
    <ns0:row r="8">
      <ns0:c r="B8" t="inlineStr">
        <ns0:is>
          <ns0:t xml:space="preserve">2 đội lần lượt tấn công nhau theo lượt. </ns0:t>
        </ns0:is>
      </ns0:c>
    </ns0:row>
    <ns0:row r="9">
      <ns0:c r="B9" t="inlineStr">
        <ns0:is>
          <ns0:t>Mục tiêu là hạ được nhân vật chính của đối phương trước</ns0:t>
        </ns0:is>
      </ns0:c>
    </ns0:row>
  </ns0:sheetData>
  <ns0:pageMargins left="0.7" right="0.7" top="0.75" bottom="0.75" header="0.3" footer="0.3"/>
</ns0:worksheet>
</file>

<file path=xl/worksheets/sheet2.xml><?xml version="1.0" encoding="utf-8"?>
<ns0:worksheet xmlns:ns0="http://schemas.openxmlformats.org/spreadsheetml/2006/main">
  <ns0:sheetPr>
    <ns0:outlinePr summaryBelow="1" summaryRight="1"/>
    <ns0:pageSetUpPr/>
  </ns0:sheetPr>
  <ns0:dimension ref="A1:C8"/>
  <ns0:sheetViews>
    <ns0:sheetView workbookViewId="0">
      <ns0:selection activeCell="A3" sqref="A3:C8"/>
    </ns0:sheetView>
  </ns0:sheetViews>
  <ns0:sheetFormatPr baseColWidth="8" defaultColWidth="9.142857142857141" defaultRowHeight="15" outlineLevelRow="7"/>
  <ns0:cols>
    <ns0:col width="20.1428571428571" customWidth="1" style="4" min="1" max="1"/>
    <ns0:col width="38" customWidth="1" style="4" min="2" max="2"/>
    <ns0:col width="16.8571428571429" customWidth="1" style="4" min="3" max="3"/>
  </ns0:cols>
  <ns0:sheetData>
    <ns0:row r="1">
      <ns0:c r="A1" t="inlineStr">
        <ns0:is>
          <ns0:t>Giai đoạn phát triển</ns0:t>
        </ns0:is>
      </ns0:c>
    </ns0:row>
    <ns0:row r="3">
      <ns0:c r="A3" t="inlineStr">
        <ns0:is>
          <ns0:t>Mục tiêu</ns0:t>
        </ns0:is>
      </ns0:c>
      <ns0:c r="B3" t="inlineStr">
        <ns0:is>
          <ns0:t>Giai đoạn</ns0:t>
        </ns0:is>
      </ns0:c>
      <ns0:c r="C3" t="inlineStr">
        <ns0:is>
          <ns0:t>tiến độ</ns0:t>
        </ns0:is>
      </ns0:c>
    </ns0:row>
    <ns0:row r="4">
      <ns0:c r="A4" t="inlineStr">
        <ns0:is>
          <ns0:t>Thiết kế demo</ns0:t>
        </ns0:is>
      </ns0:c>
      <ns0:c r="B4" t="inlineStr">
        <ns0:is>
          <ns0:t>hoàn thiện ý tưởng chung</ns0:t>
        </ns0:is>
      </ns0:c>
      <ns0:c r="C4" t="inlineStr">
        <ns0:is>
          <ns0:t>đang ở bước này</ns0:t>
        </ns0:is>
      </ns0:c>
    </ns0:row>
    <ns0:row r="5">
      <ns0:c r="B5" t="inlineStr">
        <ns0:is>
          <ns0:t>thiết lập chỉ số và công thức</ns0:t>
        </ns0:is>
      </ns0:c>
    </ns0:row>
    <ns0:row r="6">
      <ns0:c r="B6" t="inlineStr">
        <ns0:is>
          <ns0:t>thiết kế nhân vât</ns0:t>
        </ns0:is>
      </ns0:c>
    </ns0:row>
    <ns0:row r="7">
      <ns0:c r="B7" t="inlineStr">
        <ns0:is>
          <ns0:t>Tạo combat demo bằng text</ns0:t>
        </ns0:is>
      </ns0:c>
    </ns0:row>
    <ns0:row r="8">
      <ns0:c r="B8" t="inlineStr">
        <ns0:is>
          <ns0:t>tạo combat demo với đồ họa đơn giản</ns0:t>
        </ns0:is>
      </ns0:c>
    </ns0:row>
  </ns0:sheetData>
  <ns0:pageMargins left="0.75" right="0.75" top="1" bottom="1" header="0.5" footer="0.5"/>
</ns0:worksheet>
</file>

<file path=xl/worksheets/sheet3.xml><?xml version="1.0" encoding="utf-8"?>
<ns0:worksheet xmlns:ns0="http://schemas.openxmlformats.org/spreadsheetml/2006/main">
  <ns0:sheetPr>
    <ns0:outlinePr summaryBelow="1" summaryRight="1"/>
    <ns0:pageSetUpPr/>
  </ns0:sheetPr>
  <ns0:dimension ref="A1:C54"/>
  <ns0:sheetViews>
    <ns0:sheetView topLeftCell="A30" workbookViewId="0">
      <ns0:selection activeCell="C50" sqref="C50"/>
    </ns0:sheetView>
  </ns0:sheetViews>
  <ns0:sheetFormatPr baseColWidth="8" defaultColWidth="9.142857142857141" defaultRowHeight="15"/>
  <ns0:cols>
    <ns0:col width="29.2857142857143" customWidth="1" style="4" min="1" max="1"/>
    <ns0:col width="30.5714285714286" customWidth="1" style="4" min="2" max="2"/>
    <ns0:col width="161.714285714286" customWidth="1" style="4" min="3" max="3"/>
  </ns0:cols>
  <ns0:sheetData>
    <ns0:row r="1" ht="61" customHeight="1" s="4">
      <ns0:c r="A1" s="10" t="inlineStr">
        <ns0:is>
          <ns0:t>Avatar War is a turn-based strategy game where you command a main character and eight avatars in a 3×3 formation, aiming to defeat the enemy’s main character while protecting your own. Teams alternate turns, with the higher-AP team acting first and action slots gradually increasing from two to four, then five. Reposition your characters, defend to pass an action slot to an ally, or commit to an attack or skill. Every move costs AP, and pushing a character into negative AP can secure an immediate advantage at the cost of delaying their next opportunity to act. Victory depends on teamwork, positioning, and timing.</ns0:t>
        </ns0:is>
      </ns0:c>
    </ns0:row>
    <ns0:row r="3">
      <ns0:c r="A3" s="11" t="inlineStr">
        <ns0:is>
          <ns0:t>Section</ns0:t>
        </ns0:is>
      </ns0:c>
      <ns0:c r="B3" s="11" t="inlineStr">
        <ns0:is>
          <ns0:t>Rule</ns0:t>
        </ns0:is>
      </ns0:c>
      <ns0:c r="C3" s="11" t="inlineStr">
        <ns0:is>
          <ns0:t>Description</ns0:t>
        </ns0:is>
      </ns0:c>
    </ns0:row>
    <ns0:row r="4">
      <ns0:c r="A4" s="11" t="inlineStr">
        <ns0:is>
          <ns0:t>Terminology</ns0:t>
        </ns0:is>
      </ns0:c>
      <ns0:c r="B4" s="11" t="inlineStr">
        <ns0:is>
          <ns0:t>Team turn</ns0:t>
        </ns0:is>
      </ns0:c>
      <ns0:c r="C4" s="11" t="inlineStr">
        <ns0:is>
          <ns0:t>One team's opportunity to act before control passes to the opposing team.</ns0:t>
        </ns0:is>
      </ns0:c>
    </ns0:row>
    <ns0:row r="5">
      <ns0:c r="A5" s="11" t="inlineStr">
        <ns0:is>
          <ns0:t>Terminology</ns0:t>
        </ns0:is>
      </ns0:c>
      <ns0:c r="B5" s="11" t="inlineStr">
        <ns0:is>
          <ns0:t>Action slot</ns0:t>
        </ns0:is>
      </ns0:c>
      <ns0:c r="C5" s="11" t="inlineStr">
        <ns0:is>
          <ns0:t>A transferable opportunity to act, separate from its holder and AP.</ns0:t>
        </ns0:is>
      </ns0:c>
    </ns0:row>
    <ns0:row r="6">
      <ns0:c r="A6" s="11" t="inlineStr">
        <ns0:is>
          <ns0:t>Terminology</ns0:t>
        </ns0:is>
      </ns0:c>
      <ns0:c r="B6" s="11" t="inlineStr">
        <ns0:is>
          <ns0:t>AP</ns0:t>
        </ns0:is>
      </ns0:c>
      <ns0:c r="C6" s="11" t="inlineStr">
        <ns0:is>
          <ns0:t>Action Points. AP may become negative through action costs or modifiers.</ns0:t>
        </ns0:is>
      </ns0:c>
    </ns0:row>
    <ns0:row r="7">
      <ns0:c r="A7" s="11" t="inlineStr">
        <ns0:is>
          <ns0:t>I. Starting Team</ns0:t>
        </ns0:is>
      </ns0:c>
      <ns0:c r="B7" s="11" t="inlineStr">
        <ns0:is>
          <ns0:t>Initial initiative</ns0:t>
        </ns0:is>
      </ns0:c>
      <ns0:c r="C7" s="11" t="inlineStr">
        <ns0:is>
          <ns0:t>Compare the highest individual AP value on each team at the start of battle. The team with the higher value acts first.</ns0:t>
        </ns0:is>
      </ns0:c>
    </ns0:row>
    <ns0:row r="8">
      <ns0:c r="A8" s="11" t="inlineStr">
        <ns0:is>
          <ns0:t>I. Starting Team</ns0:t>
        </ns0:is>
      </ns0:c>
      <ns0:c r="B8" s="11" t="inlineStr">
        <ns0:is>
          <ns0:t>Initiative tie</ns0:t>
        </ns0:is>
      </ns0:c>
      <ns0:c r="C8" s="11" t="inlineStr">
        <ns0:is>
          <ns0:t>If both teams have the same highest AP value, randomly determine the starting team.</ns0:t>
        </ns0:is>
      </ns0:c>
    </ns0:row>
    <ns0:row r="9">
      <ns0:c r="A9" s="11" t="inlineStr">
        <ns0:is>
          <ns0:t>II. Turn Sequence</ns0:t>
        </ns0:is>
      </ns0:c>
      <ns0:c r="B9" s="11" t="inlineStr">
        <ns0:is>
          <ns0:t>Alternating turns</ns0:t>
        </ns0:is>
      </ns0:c>
      <ns0:c r="C9" s="11" t="inlineStr">
        <ns0:is>
          <ns0:t>The two teams take turns alternately. Team A below denotes the starting team.</ns0:t>
        </ns0:is>
      </ns0:c>
    </ns0:row>
    <ns0:row r="10">
      <ns0:c r="A10" s="11" t="inlineStr">
        <ns0:is>
          <ns0:t>II. Turn Sequence</ns0:t>
        </ns0:is>
      </ns0:c>
      <ns0:c r="B10" s="11" t="inlineStr">
        <ns0:is>
          <ns0:t>Turn 1</ns0:t>
        </ns0:is>
      </ns0:c>
      <ns0:c r="C10" s="11" t="inlineStr">
        <ns0:is>
          <ns0:t>Team A: maximum 2 initial action slots.</ns0:t>
        </ns0:is>
      </ns0:c>
    </ns0:row>
    <ns0:row r="11">
      <ns0:c r="A11" s="11" t="inlineStr">
        <ns0:is>
          <ns0:t>II. Turn Sequence</ns0:t>
        </ns0:is>
      </ns0:c>
      <ns0:c r="B11" s="11" t="inlineStr">
        <ns0:is>
          <ns0:t>Turn 2</ns0:t>
        </ns0:is>
      </ns0:c>
      <ns0:c r="C11" s="11" t="inlineStr">
        <ns0:is>
          <ns0:t>Team B: maximum 2 initial action slots.</ns0:t>
        </ns0:is>
      </ns0:c>
    </ns0:row>
    <ns0:row r="12">
      <ns0:c r="A12" s="11" t="inlineStr">
        <ns0:is>
          <ns0:t>II. Turn Sequence</ns0:t>
        </ns0:is>
      </ns0:c>
      <ns0:c r="B12" s="11" t="inlineStr">
        <ns0:is>
          <ns0:t>Turn 3</ns0:t>
        </ns0:is>
      </ns0:c>
      <ns0:c r="C12" s="11" t="inlineStr">
        <ns0:is>
          <ns0:t>Team A: maximum 4 initial action slots.</ns0:t>
        </ns0:is>
      </ns0:c>
    </ns0:row>
    <ns0:row r="13">
      <ns0:c r="A13" s="11" t="inlineStr">
        <ns0:is>
          <ns0:t>II. Turn Sequence</ns0:t>
        </ns0:is>
      </ns0:c>
      <ns0:c r="B13" s="11" t="inlineStr">
        <ns0:is>
          <ns0:t>Turn 4</ns0:t>
        </ns0:is>
      </ns0:c>
      <ns0:c r="C13" s="11" t="inlineStr">
        <ns0:is>
          <ns0:t>Team B: maximum 4 initial action slots.</ns0:t>
        </ns0:is>
      </ns0:c>
    </ns0:row>
    <ns0:row r="14">
      <ns0:c r="A14" s="11" t="inlineStr">
        <ns0:is>
          <ns0:t>II. Turn Sequence</ns0:t>
        </ns0:is>
      </ns0:c>
      <ns0:c r="B14" s="11" t="inlineStr">
        <ns0:is>
          <ns0:t>Turn 5 onward</ns0:t>
        </ns0:is>
      </ns0:c>
      <ns0:c r="C14" s="11" t="inlineStr">
        <ns0:is>
          <ns0:t>The acting team receives a maximum of 5 initial action slots per team turn.</ns0:t>
        </ns0:is>
      </ns0:c>
    </ns0:row>
    <ns0:row r="15">
      <ns0:c r="A15" s="11" t="inlineStr">
        <ns0:is>
          <ns0:t>III. AP Recovery</ns0:t>
        </ns0:is>
      </ns0:c>
      <ns0:c r="B15" s="11" t="inlineStr">
        <ns0:is>
          <ns0:t>Default recovery</ns0:t>
        </ns0:is>
      </ns0:c>
      <ns0:c r="C15" s="11" t="inlineStr">
        <ns0:is>
          <ns0:t>AP recovers at the beginning of the acting team's turn, before initial action slots are assigned.</ns0:t>
        </ns0:is>
      </ns0:c>
    </ns0:row>
    <ns0:row r="16">
      <ns0:c r="A16" s="11" t="inlineStr">
        <ns0:is>
          <ns0:t>III. AP Recovery</ns0:t>
        </ns0:is>
      </ns0:c>
      <ns0:c r="B16" s="11" t="inlineStr">
        <ns0:is>
          <ns0:t>Recovery scope</ns0:t>
        </ns0:is>
      </ns0:c>
      <ns0:c r="C16" s="11" t="inlineStr">
        <ns0:is>
          <ns0:t>Only the acting team receives default AP recovery.</ns0:t>
        </ns0:is>
      </ns0:c>
    </ns0:row>
    <ns0:row r="17">
      <ns0:c r="A17" s="11" t="inlineStr">
        <ns0:is>
          <ns0:t>III. AP Recovery</ns0:t>
        </ns0:is>
      </ns0:c>
      <ns0:c r="B17" s="11" t="inlineStr">
        <ns0:is>
          <ns0:t>Modifiers</ns0:t>
        </ns0:is>
      </ns0:c>
      <ns0:c r="C17" s="11" t="inlineStr">
        <ns0:is>
          <ns0:t>Specific modifiers may change AP recovery or AP during a turn.</ns0:t>
        </ns0:is>
      </ns0:c>
    </ns0:row>
    <ns0:row r="18">
      <ns0:c r="A18" s="11" t="inlineStr">
        <ns0:is>
          <ns0:t>IV. Initial Slot Assignment</ns0:t>
        </ns0:is>
      </ns0:c>
      <ns0:c r="B18" s="11" t="inlineStr">
        <ns0:is>
          <ns0:t>AP requirement</ns0:t>
        </ns0:is>
      </ns0:c>
      <ns0:c r="C18" s="11" t="inlineStr">
        <ns0:is>
          <ns0:t>A character must have at least 100 AP to receive an initial action slot.</ns0:t>
        </ns0:is>
      </ns0:c>
    </ns0:row>
    <ns0:row r="19">
      <ns0:c r="A19" s="11" t="inlineStr">
        <ns0:is>
          <ns0:t>IV. Initial Slot Assignment</ns0:t>
        </ns0:is>
      </ns0:c>
      <ns0:c r="B19" s="11" t="inlineStr">
        <ns0:is>
          <ns0:t>Priority</ns0:t>
        </ns0:is>
      </ns0:c>
      <ns0:c r="C19" s="11" t="inlineStr">
        <ns0:is>
          <ns0:t>If eligible characters exceed the slot limit, prioritize characters with higher current AP.</ns0:t>
        </ns0:is>
      </ns0:c>
    </ns0:row>
    <ns0:row r="20">
      <ns0:c r="A20" s="11" t="inlineStr">
        <ns0:is>
          <ns0:t>IV. Initial Slot Assignment</ns0:t>
        </ns0:is>
      </ns0:c>
      <ns0:c r="B20" s="11" t="inlineStr">
        <ns0:is>
          <ns0:t>Priority tie</ns0:t>
        </ns0:is>
      </ns0:c>
      <ns0:c r="C20" s="11" t="inlineStr">
        <ns0:is>
          <ns0:t>Randomly resolve equal-AP ties when selecting initial slot holders.</ns0:t>
        </ns0:is>
      </ns0:c>
    </ns0:row>
    <ns0:row r="21">
      <ns0:c r="A21" s="11" t="inlineStr">
        <ns0:is>
          <ns0:t>IV. Initial Slot Assignment</ns0:t>
        </ns0:is>
      </ns0:c>
      <ns0:c r="B21" s="11" t="inlineStr">
        <ns0:is>
          <ns0:t>Initial allocation</ns0:t>
        </ns0:is>
      </ns0:c>
      <ns0:c r="C21" s="11" t="inlineStr">
        <ns0:is>
          <ns0:t>Assign one initial action slot to each selected character.</ns0:t>
        </ns0:is>
      </ns0:c>
    </ns0:row>
    <ns0:row r="22">
      <ns0:c r="A22" s="11" t="inlineStr">
        <ns0:is>
          <ns0:t>IV. Initial Slot Assignment</ns0:t>
        </ns0:is>
      </ns0:c>
      <ns0:c r="B22" s="11" t="inlineStr">
        <ns0:is>
          <ns0:t>Fixed slot count</ns0:t>
        </ns0:is>
      </ns0:c>
      <ns0:c r="C22" s="11" t="inlineStr">
        <ns0:is>
          <ns0:t>The initial slot count is determined at the beginning of the turn. No additional slots are created during that turn.</ns0:t>
        </ns0:is>
      </ns0:c>
    </ns0:row>
    <ns0:row r="23">
      <ns0:c r="A23" s="11" t="inlineStr">
        <ns0:is>
          <ns0:t>IV. Initial Slot Assignment</ns0:t>
        </ns0:is>
      </ns0:c>
      <ns0:c r="B23" s="11" t="inlineStr">
        <ns0:is>
          <ns0:t>Insufficient eligible characters</ns0:t>
        </ns0:is>
      </ns0:c>
      <ns0:c r="C23" t="inlineStr">
        <ns0:is>
          <ns0:t>If fewer characters qualify than the turn's slot limit, assign one initial action slot to each qualifying character. Later AP changes do not increase the initial slot count.</ns0:t>
        </ns0:is>
      </ns0:c>
    </ns0:row>
    <ns0:row r="24">
      <ns0:c r="A24" s="11" t="inlineStr">
        <ns0:is>
          <ns0:t>IV. Initial Slot Assignment</ns0:t>
        </ns0:is>
      </ns0:c>
      <ns0:c r="B24" s="11" t="inlineStr">
        <ns0:is>
          <ns0:t>No eligible characters</ns0:t>
        </ns0:is>
      </ns0:c>
      <ns0:c r="C24" s="11" t="inlineStr">
        <ns0:is>
          <ns0:t>If no character qualifies, the turn ends and control passes to the opposing team.</ns0:t>
        </ns0:is>
      </ns0:c>
    </ns0:row>
    <ns0:row r="25">
      <ns0:c r="A25" s="11" t="inlineStr">
        <ns0:is>
          <ns0:t>V. Holding a Slot</ns0:t>
        </ns0:is>
      </ns0:c>
      <ns0:c r="B25" s="11" t="inlineStr">
        <ns0:is>
          <ns0:t>AP after assignment</ns0:t>
        </ns0:is>
      </ns0:c>
      <ns0:c r="C25" s="11" t="inlineStr">
        <ns0:is>
          <ns0:t>Later AP changes do not revoke an assigned slot.</ns0:t>
        </ns0:is>
      </ns0:c>
    </ns0:row>
    <ns0:row r="26">
      <ns0:c r="A26" s="11" t="inlineStr">
        <ns0:is>
          <ns0:t>V. Holding a Slot</ns0:t>
        </ns0:is>
      </ns0:c>
      <ns0:c r="B26" s="11" t="inlineStr">
        <ns0:is>
          <ns0:t>Continued actions</ns0:t>
        </ns0:is>
      </ns0:c>
      <ns0:c r="C26" s="11" t="inlineStr">
        <ns0:is>
          <ns0:t>The holder may continue acting with less than 100 AP or negative AP until the slot is transferred, ended, or interrupted.</ns0:t>
        </ns0:is>
      </ns0:c>
    </ns0:row>
    <ns0:row r="27">
      <ns0:c r="A27" s="11" t="inlineStr">
        <ns0:is>
          <ns0:t>VI. Attack</ns0:t>
        </ns0:is>
      </ns0:c>
      <ns0:c r="B27" s="11" t="inlineStr">
        <ns0:is>
          <ns0:t>AP cost</ns0:t>
        </ns0:is>
      </ns0:c>
      <ns0:c r="C27" s="11" t="inlineStr">
        <ns0:is>
          <ns0:t>A normal attack costs 100 AP. Modifiers may affect the cost or resulting AP.</ns0:t>
        </ns0:is>
      </ns0:c>
    </ns0:row>
    <ns0:row r="28">
      <ns0:c r="A28" s="11" t="inlineStr">
        <ns0:is>
          <ns0:t>VI. Attack</ns0:t>
        </ns0:is>
      </ns0:c>
      <ns0:c r="B28" s="11" t="inlineStr">
        <ns0:is>
          <ns0:t>Slot result</ns0:t>
        </ns0:is>
      </ns0:c>
      <ns0:c r="C28" s="11" t="inlineStr">
        <ns0:is>
          <ns0:t>Attacking ends the current action slot.</ns0:t>
        </ns0:is>
      </ns0:c>
    </ns0:row>
    <ns0:row r="29">
      <ns0:c r="A29" s="11" t="inlineStr">
        <ns0:is>
          <ns0:t>VI. Skill</ns0:t>
        </ns0:is>
      </ns0:c>
      <ns0:c r="B29" s="11" t="inlineStr">
        <ns0:is>
          <ns0:t>AP cost</ns0:t>
        </ns0:is>
      </ns0:c>
      <ns0:c r="C29" s="11" t="inlineStr">
        <ns0:is>
          <ns0:t>AP cost depends on the skill. A character may use a skill costing more than their current AP, resulting in negative AP.</ns0:t>
        </ns0:is>
      </ns0:c>
    </ns0:row>
    <ns0:row r="30">
      <ns0:c r="A30" s="11" t="inlineStr">
        <ns0:is>
          <ns0:t>VI. Skill</ns0:t>
        </ns0:is>
      </ns0:c>
      <ns0:c r="B30" s="11" t="inlineStr">
        <ns0:is>
          <ns0:t>Slot result</ns0:t>
        </ns0:is>
      </ns0:c>
      <ns0:c r="C30" s="11" t="inlineStr">
        <ns0:is>
          <ns0:t>Using a skill ends the current action slot.</ns0:t>
        </ns0:is>
      </ns0:c>
    </ns0:row>
    <ns0:row r="31">
      <ns0:c r="A31" s="11" t="inlineStr">
        <ns0:is>
          <ns0:t>VI. Position Swap</ns0:t>
        </ns0:is>
      </ns0:c>
      <ns0:c r="B31" s="11" t="inlineStr">
        <ns0:is>
          <ns0:t>AP cost</ns0:t>
        </ns0:is>
      </ns0:c>
      <ns0:c r="C31" s="11" t="inlineStr">
        <ns0:is>
          <ns0:t>Each character involved in a position swap loses 50 AP.</ns0:t>
        </ns0:is>
      </ns0:c>
    </ns0:row>
    <ns0:row r="32">
      <ns0:c r="A32" s="11" t="inlineStr">
        <ns0:is>
          <ns0:t>VI. Position Swap</ns0:t>
        </ns0:is>
      </ns0:c>
      <ns0:c r="B32" s="11" t="inlineStr">
        <ns0:is>
          <ns0:t>Low-AP swap partner</ns0:t>
        </ns0:is>
      </ns0:c>
      <ns0:c r="C32" s="11" t="inlineStr">
        <ns0:is>
          <ns0:t>A position swap is allowed with a character who has less than 50 AP. Their AP may become negative.</ns0:t>
        </ns0:is>
      </ns0:c>
    </ns0:row>
    <ns0:row r="33">
      <ns0:c r="A33" s="11" t="inlineStr">
        <ns0:is>
          <ns0:t>VI. Position Swap</ns0:t>
        </ns0:is>
      </ns0:c>
      <ns0:c r="B33" s="11" t="inlineStr">
        <ns0:is>
          <ns0:t>Slot ownership</ns0:t>
        </ns0:is>
      </ns0:c>
      <ns0:c r="C33" s="11" t="inlineStr">
        <ns0:is>
          <ns0:t>The initiating character retains the current action slot.</ns0:t>
        </ns0:is>
      </ns0:c>
    </ns0:row>
    <ns0:row r="34">
      <ns0:c r="A34" s="11" t="inlineStr">
        <ns0:is>
          <ns0:t>VI. Position Swap</ns0:t>
        </ns0:is>
      </ns0:c>
      <ns0:c r="B34" s="11" t="inlineStr">
        <ns0:is>
          <ns0:t>Swap limit</ns0:t>
        </ns0:is>
      </ns0:c>
      <ns0:c r="C34" s="11" t="inlineStr">
        <ns0:is>
          <ns0:t>Position swaps are unlimited within the current action slot, including when the holder has negative AP.</ns0:t>
        </ns0:is>
      </ns0:c>
    </ns0:row>
    <ns0:row r="35">
      <ns0:c r="A35" s="11" t="inlineStr">
        <ns0:is>
          <ns0:t>VI. Position Swap</ns0:t>
        </ns0:is>
      </ns0:c>
      <ns0:c r="B35" s="11" t="inlineStr">
        <ns0:is>
          <ns0:t>Partner's slot</ns0:t>
        </ns0:is>
      </ns0:c>
      <ns0:c r="C35" s="11" t="inlineStr">
        <ns0:is>
          <ns0:t>Being swapped does not itself consume or transfer the swap partner's action slot.</ns0:t>
        </ns0:is>
      </ns0:c>
    </ns0:row>
    <ns0:row r="36">
      <ns0:c r="A36" s="11" t="inlineStr">
        <ns0:is>
          <ns0:t>VI. Defend</ns0:t>
        </ns0:is>
      </ns0:c>
      <ns0:c r="B36" s="11" t="inlineStr">
        <ns0:is>
          <ns0:t>AP cost</ns0:t>
        </ns0:is>
      </ns0:c>
      <ns0:c r="C36" s="11" t="inlineStr">
        <ns0:is>
          <ns0:t>Defending costs 50 AP.</ns0:t>
        </ns0:is>
      </ns0:c>
    </ns0:row>
    <ns0:row r="37">
      <ns0:c r="A37" s="11" t="inlineStr">
        <ns0:is>
          <ns0:t>VI. Defend</ns0:t>
        </ns0:is>
      </ns0:c>
      <ns0:c r="B37" s="11" t="inlineStr">
        <ns0:is>
          <ns0:t>Slot transfer</ns0:t>
        </ns0:is>
      </ns0:c>
      <ns0:c r="C37" s="11" t="inlineStr">
        <ns0:is>
          <ns0:t>Defending transfers the existing action slot to another eligible character. It does not create or end that slot.</ns0:t>
        </ns0:is>
      </ns0:c>
    </ns0:row>
    <ns0:row r="38">
      <ns0:c r="A38" s="11" t="inlineStr">
        <ns0:is>
          <ns0:t>VI. Defend</ns0:t>
        </ns0:is>
      </ns0:c>
      <ns0:c r="B38" s="11" t="inlineStr">
        <ns0:is>
          <ns0:t>Defending character</ns0:t>
        </ns0:is>
      </ns0:c>
      <ns0:c r="C38" s="11" t="inlineStr">
        <ns0:is>
          <ns0:t>A character in the defending state cannot receive another action slot during the same team turn.</ns0:t>
        </ns0:is>
      </ns0:c>
    </ns0:row>
    <ns0:row r="39">
      <ns0:c r="A39" s="11" t="inlineStr">
        <ns0:is>
          <ns0:t>VI. Defend</ns0:t>
        </ns0:is>
      </ns0:c>
      <ns0:c r="B39" s="11" t="inlineStr">
        <ns0:is>
          <ns0:t>Repeated transfers</ns0:t>
        </ns0:is>
      </ns0:c>
      <ns0:c r="C39" s="11" t="inlineStr">
        <ns0:is>
          <ns0:t>A recipient may also defend and transfer the same slot again.</ns0:t>
        </ns0:is>
      </ns0:c>
    </ns0:row>
    <ns0:row r="40">
      <ns0:c r="A40" s="11" t="inlineStr">
        <ns0:is>
          <ns0:t>VI. Defend</ns0:t>
        </ns0:is>
      </ns0:c>
      <ns0:c r="B40" s="11" t="inlineStr">
        <ns0:is>
          <ns0:t>No eligible recipient</ns0:t>
        </ns0:is>
      </ns0:c>
      <ns0:c r="C40" t="inlineStr">
        <ns0:is>
          <ns0:t>If no other eligible character can receive the transfer, only the defending character's current action slot ends. Other active slots remain unaffected.</ns0:t>
        </ns0:is>
      </ns0:c>
    </ns0:row>
    <ns0:row r="41">
      <ns0:c r="A41" s="11" t="inlineStr">
        <ns0:is>
          <ns0:t>VI. Voluntary Slot End</ns0:t>
        </ns0:is>
      </ns0:c>
      <ns0:c r="B41" s="11" t="inlineStr">
        <ns0:is>
          <ns0:t>AP cost</ns0:t>
        </ns0:is>
      </ns0:c>
      <ns0:c r="C41" s="11" t="inlineStr">
        <ns0:is>
          <ns0:t>Voluntarily ending the current action slot costs no AP.</ns0:t>
        </ns0:is>
      </ns0:c>
    </ns0:row>
    <ns0:row r="42">
      <ns0:c r="A42" s="11" t="inlineStr">
        <ns0:is>
          <ns0:t>VI. Voluntary Slot End</ns0:t>
        </ns0:is>
      </ns0:c>
      <ns0:c r="B42" s="11" t="inlineStr">
        <ns0:is>
          <ns0:t>Slot result</ns0:t>
        </ns0:is>
      </ns0:c>
      <ns0:c r="C42" s="11" t="inlineStr">
        <ns0:is>
          <ns0:t>The slot ends without being transferred.</ns0:t>
        </ns0:is>
      </ns0:c>
    </ns0:row>
    <ns0:row r="43">
      <ns0:c r="A43" s="11" t="inlineStr">
        <ns0:is>
          <ns0:t>VI. Voluntary Slot End</ns0:t>
        </ns0:is>
      </ns0:c>
      <ns0:c r="B43" s="11" t="inlineStr">
        <ns0:is>
          <ns0:t>Character restriction</ns0:t>
        </ns0:is>
      </ns0:c>
      <ns0:c r="C43" s="11" t="inlineStr">
        <ns0:is>
          <ns0:t>A character who voluntarily ends a slot cannot receive another slot during the same team turn, regardless of AP.</ns0:t>
        </ns0:is>
      </ns0:c>
    </ns0:row>
    <ns0:row r="44">
      <ns0:c r="A44" s="11" t="inlineStr">
        <ns0:is>
          <ns0:t>VII. Transfer Eligibility</ns0:t>
        </ns0:is>
      </ns0:c>
      <ns0:c r="B44" s="11" t="inlineStr">
        <ns0:is>
          <ns0:t>Current AP</ns0:t>
        </ns0:is>
      </ns0:c>
      <ns0:c r="C44" s="11" t="inlineStr">
        <ns0:is>
          <ns0:t>A recipient must have at least 100 AP at the moment of transfer.</ns0:t>
        </ns0:is>
      </ns0:c>
    </ns0:row>
    <ns0:row r="45">
      <ns0:c r="A45" s="11" t="inlineStr">
        <ns0:is>
          <ns0:t>VII. Transfer Eligibility</ns0:t>
        </ns0:is>
      </ns0:c>
      <ns0:c r="B45" s="11" t="inlineStr">
        <ns0:is>
          <ns0:t>Existing slot</ns0:t>
        </ns0:is>
      </ns0:c>
      <ns0:c r="C45" s="11" t="inlineStr">
        <ns0:is>
          <ns0:t>A character currently holding an action slot cannot receive a transferred slot.</ns0:t>
        </ns0:is>
      </ns0:c>
    </ns0:row>
    <ns0:row r="46">
      <ns0:c r="A46" s="11" t="inlineStr">
        <ns0:is>
          <ns0:t>VII. Transfer Eligibility</ns0:t>
        </ns0:is>
      </ns0:c>
      <ns0:c r="B46" s="11" t="inlineStr">
        <ns0:is>
          <ns0:t>Restrictions</ns0:t>
        </ns0:is>
      </ns0:c>
      <ns0:c r="C46" s="11" t="inlineStr">
        <ns0:is>
          <ns0:t>A recipient must not be in the defending state or have voluntarily ended a slot during the current team turn.</ns0:t>
        </ns0:is>
      </ns0:c>
    </ns0:row>
    <ns0:row r="47">
      <ns0:c r="A47" s="11" t="inlineStr">
        <ns0:is>
          <ns0:t>VII. Transfer Eligibility</ns0:t>
        </ns0:is>
      </ns0:c>
      <ns0:c r="B47" s="11" t="inlineStr">
        <ns0:is>
          <ns0:t>Receiving another slot</ns0:t>
        </ns0:is>
      </ns0:c>
      <ns0:c r="C47" s="11" t="inlineStr">
        <ns0:is>
          <ns0:t>A character who previously ended a slot by attacking or using a skill may receive another slot if currently eligible.</ns0:t>
        </ns0:is>
      </ns0:c>
    </ns0:row>
    <ns0:row r="48">
      <ns0:c r="A48" s="11" t="inlineStr">
        <ns0:is>
          <ns0:t>VII. Transfer Eligibility</ns0:t>
        </ns0:is>
      </ns0:c>
      <ns0:c r="B48" s="11" t="inlineStr">
        <ns0:is>
          <ns0:t>AP modifiers</ns0:t>
        </ns0:is>
      </ns0:c>
      <ns0:c r="C48" s="11" t="inlineStr">
        <ns0:is>
          <ns0:t>AP changes may alter transfer eligibility, but do not revoke held slots or create new slots.</ns0:t>
        </ns0:is>
      </ns0:c>
    </ns0:row>
    <ns0:row r="49">
      <ns0:c r="A49" s="11" t="inlineStr">
        <ns0:is>
          <ns0:t>VIII. Slot Interruption</ns0:t>
        </ns0:is>
      </ns0:c>
      <ns0:c r="B49" s="11" t="inlineStr">
        <ns0:is>
          <ns0:t>Interruption</ns0:t>
        </ns0:is>
      </ns0:c>
      <ns0:c r="C49" s="11" t="inlineStr">
        <ns0:is>
          <ns0:t>If the holder dies, is stunned, or suffers another slot-interrupting effect before transferring the slot, that slot is lost and cannot be transferred afterward.</ns0:t>
        </ns0:is>
      </ns0:c>
    </ns0:row>
    <ns0:row r="50">
      <ns0:c r="A50" s="11" t="inlineStr">
        <ns0:is>
          <ns0:t>IX. Turn End</ns0:t>
        </ns0:is>
      </ns0:c>
      <ns0:c r="B50" s="11" t="inlineStr">
        <ns0:is>
          <ns0:t>No remaining slots</ns0:t>
        </ns0:is>
      </ns0:c>
      <ns0:c r="C50" s="11" t="inlineStr">
        <ns0:is>
          <ns0:t>The team turn ends when no active action slots remain.</ns0:t>
        </ns0:is>
      </ns0:c>
    </ns0:row>
    <ns0:row r="51">
      <ns0:c r="A51" s="11" t="inlineStr">
        <ns0:is>
          <ns0:t>IX. Turn End</ns0:t>
        </ns0:is>
      </ns0:c>
      <ns0:c r="B51" s="11" t="inlineStr">
        <ns0:is>
          <ns0:t>Failed defensive transfer</ns0:t>
        </ns0:is>
      </ns0:c>
      <ns0:c r="C51" t="inlineStr">
        <ns0:is>
          <ns0:t>A failed defensive transfer ends the team turn only if no active action slots remain.</ns0:t>
        </ns0:is>
      </ns0:c>
    </ns0:row>
    <ns0:row r="52">
      <ns0:c r="A52" s="11" t="inlineStr">
        <ns0:is>
          <ns0:t>IX. Turn End</ns0:t>
        </ns0:is>
      </ns0:c>
      <ns0:c r="B52" s="11" t="inlineStr">
        <ns0:is>
          <ns0:t>Turn progression</ns0:t>
        </ns0:is>
      </ns0:c>
      <ns0:c r="C52" s="11" t="inlineStr">
        <ns0:is>
          <ns0:t>A turn with no actions still counts toward the opening turn sequence.</ns0:t>
        </ns0:is>
      </ns0:c>
    </ns0:row>
    <ns0:row r="53">
      <ns0:c r="A53" s="11" t="inlineStr">
        <ns0:is>
          <ns0:t>X. Battle End</ns0:t>
        </ns0:is>
      </ns0:c>
      <ns0:c r="B53" s="11" t="inlineStr">
        <ns0:is>
          <ns0:t>Priority</ns0:t>
        </ns0:is>
      </ns0:c>
      <ns0:c r="C53" s="11" t="inlineStr">
        <ns0:is>
          <ns0:t>The battle-ending condition takes priority over remaining actions and slots.</ns0:t>
        </ns0:is>
      </ns0:c>
    </ns0:row>
    <ns0:row r="54">
      <ns0:c r="A54" t="inlineStr">
        <ns0:is>
          <ns0:t>X. Battle End</ns0:t>
        </ns0:is>
      </ns0:c>
      <ns0:c r="B54" t="inlineStr">
        <ns0:is>
          <ns0:t>Victory objective</ns0:t>
        </ns0:is>
      </ns0:c>
      <ns0:c r="C54" t="inlineStr">
        <ns0:is>
          <ns0:t>Defeat the opposing team's main character to win.</ns0:t>
        </ns0:is>
      </ns0:c>
    </ns0:row>
  </ns0:sheetData>
  <ns0:mergeCells count="1">
    <ns0:mergeCell ref="A1:C1"/>
  </ns0:mergeCells>
  <ns0:pageMargins left="0.75" right="0.75" top="1" bottom="1" header="0.5" footer="0.5"/>
</ns0:worksheet>
</file>

<file path=xl/worksheets/sheet4.xml><?xml version="1.0" encoding="utf-8"?>
<ns0:worksheet xmlns:ns0="http://schemas.openxmlformats.org/spreadsheetml/2006/main">
  <ns0:sheetPr>
    <ns0:outlinePr summaryBelow="1" summaryRight="1"/>
    <ns0:pageSetUpPr/>
  </ns0:sheetPr>
  <ns0:dimension ref="A1:E54"/>
  <ns0:sheetViews>
    <ns0:sheetView zoomScale="85" zoomScaleNormal="85" workbookViewId="0">
      <ns0:selection activeCell="A6" sqref="A6:B6"/>
    </ns0:sheetView>
  </ns0:sheetViews>
  <ns0:sheetFormatPr baseColWidth="8" defaultColWidth="9.142857142857141" defaultRowHeight="15"/>
  <ns0:cols>
    <ns0:col width="22.5714285714286" customWidth="1" style="4" min="1" max="1"/>
    <ns0:col width="10.2857142857143" customWidth="1" style="4" min="2" max="2"/>
    <ns0:col width="16.5714285714286" customWidth="1" style="4" min="3" max="3"/>
    <ns0:col width="45.8571428571429" customWidth="1" style="4" min="4" max="4"/>
  </ns0:cols>
  <ns0:sheetData>
    <ns0:row r="1">
      <ns0:c r="A1" t="inlineStr">
        <ns0:is>
          <ns0:t>Term (stat)</ns0:t>
        </ns0:is>
      </ns0:c>
      <ns0:c r="B1" t="inlineStr">
        <ns0:is>
          <ns0:t>Symbol</ns0:t>
        </ns0:is>
      </ns0:c>
      <ns0:c r="C1" t="inlineStr">
        <ns0:is>
          <ns0:t>Unit</ns0:t>
        </ns0:is>
      </ns0:c>
      <ns0:c r="D1" t="inlineStr">
        <ns0:is>
          <ns0:t>Formula</ns0:t>
        </ns0:is>
      </ns0:c>
      <ns0:c r="E1" t="inlineStr">
        <ns0:is>
          <ns0:t>Definition</ns0:t>
        </ns0:is>
      </ns0:c>
    </ns0:row>
    <ns0:row r="2">
      <ns0:c r="A2" t="inlineStr">
        <ns0:is>
          <ns0:t>HP (Health Points)</ns0:t>
        </ns0:is>
      </ns0:c>
      <ns0:c r="B2" t="inlineStr">
        <ns0:is>
          <ns0:t>HP</ns0:t>
        </ns0:is>
      </ns0:c>
      <ns0:c r="C2" t="inlineStr">
        <ns0:is>
          <ns0:t>Points</ns0:t>
        </ns0:is>
      </ns0:c>
      <ns0:c r="D2" t="inlineStr">
        <ns0:is>
          <ns0:t>MAX_HP = T_B_HP × (1 + T_HP_MOD)</ns0:t>
        </ns0:is>
      </ns0:c>
      <ns0:c r="E2" t="inlineStr">
        <ns0:is>
          <ns0:t>The character's health. Current HP decreases when taking damage; the character is defeated when it reaches 0. Max HP defines the maximum health capacity.</ns0:t>
        </ns0:is>
      </ns0:c>
    </ns0:row>
    <ns0:row r="3">
      <ns0:c r="A3" t="inlineStr">
        <ns0:is>
          <ns0:t>MP (Mana Points)</ns0:t>
        </ns0:is>
      </ns0:c>
      <ns0:c r="B3" t="inlineStr">
        <ns0:is>
          <ns0:t>MP</ns0:t>
        </ns0:is>
      </ns0:c>
      <ns0:c r="C3" t="inlineStr">
        <ns0:is>
          <ns0:t>Points</ns0:t>
        </ns0:is>
      </ns0:c>
      <ns0:c r="D3" t="inlineStr">
        <ns0:is>
          <ns0:t>MAX_MP = T_B_MP × (1 + T_MP_MOD)</ns0:t>
        </ns0:is>
      </ns0:c>
      <ns0:c r="E3" t="inlineStr">
        <ns0:is>
          <ns0:t>A resource consumed by skills that require MP. Current MP is the available amount; Max MP defines the maximum capacity.</ns0:t>
        </ns0:is>
      </ns0:c>
    </ns0:row>
    <ns0:row r="4">
      <ns0:c r="A4" t="inlineStr">
        <ns0:is>
          <ns0:t>Attack</ns0:t>
        </ns0:is>
      </ns0:c>
      <ns0:c r="B4" t="inlineStr">
        <ns0:is>
          <ns0:t>ATK</ns0:t>
        </ns0:is>
      </ns0:c>
      <ns0:c r="C4" t="inlineStr">
        <ns0:is>
          <ns0:t>Points</ns0:t>
        </ns0:is>
      </ns0:c>
      <ns0:c r="D4" t="inlineStr">
        <ns0:is>
          <ns0:t>F_ATK = T_B_ATK × (1 + T_ATK_MOD)</ns0:t>
        </ns0:is>
      </ns0:c>
      <ns0:c r="E4" t="inlineStr">
        <ns0:is>
          <ns0:t>The character's base offensive power, used to calculate damage for attacks and skills that scale with Attack.</ns0:t>
        </ns0:is>
      </ns0:c>
    </ns0:row>
    <ns0:row r="5">
      <ns0:c r="A5" t="inlineStr">
        <ns0:is>
          <ns0:t>Defense</ns0:t>
        </ns0:is>
      </ns0:c>
      <ns0:c r="B5" t="inlineStr">
        <ns0:is>
          <ns0:t>DEF</ns0:t>
        </ns0:is>
      </ns0:c>
      <ns0:c r="C5" t="inlineStr">
        <ns0:is>
          <ns0:t>Points</ns0:t>
        </ns0:is>
      </ns0:c>
      <ns0:c r="D5" t="inlineStr">
        <ns0:is>
          <ns0:t>F_DEF = T_B_DEF × (1 + T_DEF_MOD)</ns0:t>
        </ns0:is>
      </ns0:c>
      <ns0:c r="E5" t="inlineStr">
        <ns0:is>
          <ns0:t>The character's ability to reduce incoming damage from normal attacks, according to the normal attack damage formula. Does not apply to skill damage.</ns0:t>
        </ns0:is>
      </ns0:c>
    </ns0:row>
    <ns0:row r="6">
      <ns0:c r="A6" t="inlineStr">
        <ns0:is>
          <ns0:t>Skill Attack</ns0:t>
        </ns0:is>
      </ns0:c>
      <ns0:c r="B6" t="inlineStr">
        <ns0:is>
          <ns0:t>SATK</ns0:t>
        </ns0:is>
      </ns0:c>
      <ns0:c r="C6" t="inlineStr">
        <ns0:is>
          <ns0:t>Points</ns0:t>
        </ns0:is>
      </ns0:c>
      <ns0:c r="D6" t="inlineStr">
        <ns0:is>
          <ns0:t>F_SATK = T_B_SATK × (1 + T_SATK_MOD)</ns0:t>
        </ns0:is>
      </ns0:c>
      <ns0:c r="E6" t="inlineStr">
        <ns0:is>
          <ns0:t>The character's offensive power used to calculate damage for skills that scale with Skill Attack. Does not apply to normal attack damage.</ns0:t>
        </ns0:is>
      </ns0:c>
    </ns0:row>
    <ns0:row r="7">
      <ns0:c r="A7" t="inlineStr">
        <ns0:is>
          <ns0:t>Skill Defense</ns0:t>
        </ns0:is>
      </ns0:c>
      <ns0:c r="B7" t="inlineStr">
        <ns0:is>
          <ns0:t>SDEF</ns0:t>
        </ns0:is>
      </ns0:c>
      <ns0:c r="C7" t="inlineStr">
        <ns0:is>
          <ns0:t>Points</ns0:t>
        </ns0:is>
      </ns0:c>
      <ns0:c r="D7" t="inlineStr">
        <ns0:is>
          <ns0:t>F_SDEF = T_B_SDEF × (1 + T_SDEF_MOD)</ns0:t>
        </ns0:is>
      </ns0:c>
      <ns0:c r="E7" t="inlineStr">
        <ns0:is>
          <ns0:t>The character's ability to reduce incoming skill damage, according to the applicable skill damage formula.</ns0:t>
        </ns0:is>
      </ns0:c>
    </ns0:row>
    <ns0:row r="8">
      <ns0:c r="A8" t="inlineStr">
        <ns0:is>
          <ns0:t>AP (Action Points)</ns0:t>
        </ns0:is>
      </ns0:c>
      <ns0:c r="B8" t="inlineStr">
        <ns0:is>
          <ns0:t>AP</ns0:t>
        </ns0:is>
      </ns0:c>
      <ns0:c r="C8" t="inlineStr">
        <ns0:is>
          <ns0:t>Points</ns0:t>
        </ns0:is>
      </ns0:c>
      <ns0:c r="D8" t="inlineStr">
        <ns0:is>
          <ns0:t>AP_after = AP_before + AP_gained - AP_spent</ns0:t>
        </ns0:is>
      </ns0:c>
      <ns0:c r="E8" t="inlineStr">
        <ns0:is>
          <ns0:t>The character's current action resource. At least 100 AP is required to receive an action slot. Action costs and modifiers change AP, which may become negative.</ns0:t>
        </ns0:is>
      </ns0:c>
    </ns0:row>
    <ns0:row r="9">
      <ns0:c r="A9" t="inlineStr">
        <ns0:is>
          <ns0:t>AP Recovery</ns0:t>
        </ns0:is>
      </ns0:c>
      <ns0:c r="B9" t="inlineStr">
        <ns0:is>
          <ns0:t>APR</ns0:t>
        </ns0:is>
      </ns0:c>
      <ns0:c r="C9" t="inlineStr">
        <ns0:is>
          <ns0:t>Points</ns0:t>
        </ns0:is>
      </ns0:c>
      <ns0:c r="D9" t="inlineStr">
        <ns0:is>
          <ns0:t>F_APR = T_B_APR × (1 + T_APR_MOD)</ns0:t>
        </ns0:is>
      </ns0:c>
      <ns0:c r="E9" t="inlineStr">
        <ns0:is>
          <ns0:t>The amount of AP the character normally recovers at the beginning of their team's turn, before initial action slots are assigned.</ns0:t>
        </ns0:is>
      </ns0:c>
    </ns0:row>
    <ns0:row r="10">
      <ns0:c r="A10" t="inlineStr">
        <ns0:is>
          <ns0:t>Skill Point</ns0:t>
        </ns0:is>
      </ns0:c>
      <ns0:c r="B10" t="inlineStr">
        <ns0:is>
          <ns0:t>SP</ns0:t>
        </ns0:is>
      </ns0:c>
      <ns0:c r="C10" t="inlineStr">
        <ns0:is>
          <ns0:t>Points</ns0:t>
        </ns0:is>
      </ns0:c>
      <ns0:c r="E10" t="inlineStr">
        <ns0:is>
          <ns0:t>A resource spent to increase a skill's level.</ns0:t>
        </ns0:is>
      </ns0:c>
    </ns0:row>
    <ns0:row r="11">
      <ns0:c r="A11" t="inlineStr">
        <ns0:is>
          <ns0:t>Critical Hit Chance</ns0:t>
        </ns0:is>
      </ns0:c>
      <ns0:c r="B11" t="inlineStr">
        <ns0:is>
          <ns0:t>CHC</ns0:t>
        </ns0:is>
      </ns0:c>
      <ns0:c r="C11" t="inlineStr">
        <ns0:is>
          <ns0:t>%</ns0:t>
        </ns0:is>
      </ns0:c>
      <ns0:c r="D11" t="inlineStr">
        <ns0:is>
          <ns0:t>F_CHC = T_B_CHC × (1 + T_CHC_MOD)</ns0:t>
        </ns0:is>
      </ns0:c>
      <ns0:c r="E11" t="inlineStr">
        <ns0:is>
          <ns0:t>The probability that an eligible hit becomes a critical hit.</ns0:t>
        </ns0:is>
      </ns0:c>
    </ns0:row>
    <ns0:row r="12">
      <ns0:c r="A12" t="inlineStr">
        <ns0:is>
          <ns0:t>Critical Damage Bonus</ns0:t>
        </ns0:is>
      </ns0:c>
      <ns0:c r="B12" t="inlineStr">
        <ns0:is>
          <ns0:t>CDB</ns0:t>
        </ns0:is>
      </ns0:c>
      <ns0:c r="C12" t="inlineStr">
        <ns0:is>
          <ns0:t>%</ns0:t>
        </ns0:is>
      </ns0:c>
      <ns0:c r="D12" t="inlineStr">
        <ns0:is>
          <ns0:t>F_CDB = T_B_CDB × (1 + T_CDB_MOD)</ns0:t>
        </ns0:is>
      </ns0:c>
      <ns0:c r="E12" t="inlineStr">
        <ns0:is>
          <ns0:t>The additional damage dealt by a critical hit compared with an equivalent non-critical hit. A 50% bonus means 150% of normal damage.</ns0:t>
        </ns0:is>
      </ns0:c>
    </ns0:row>
    <ns0:row r="13">
      <ns0:c r="A13" t="inlineStr">
        <ns0:is>
          <ns0:t>Multi-Hit Rate</ns0:t>
        </ns0:is>
      </ns0:c>
      <ns0:c r="B13" t="inlineStr">
        <ns0:is>
          <ns0:t>MHR</ns0:t>
        </ns0:is>
      </ns0:c>
      <ns0:c r="C13" t="inlineStr">
        <ns0:is>
          <ns0:t>%</ns0:t>
        </ns0:is>
      </ns0:c>
      <ns0:c r="D13" t="inlineStr">
        <ns0:is>
          <ns0:t>F_MHR = T_B_MHR × (1 + T_MHR_MOD)</ns0:t>
        </ns0:is>
      </ns0:c>
      <ns0:c r="E13" t="inlineStr">
        <ns0:is>
          <ns0:t>Determines the number of hits generated by one attack. Each full 100% grants one guaranteed hit; the remaining percentage is the chance of one additional hit. For example, 250% grants two guaranteed hits and a 50% chance of a third. These hits belong to the same action and do not create additional action slots.</ns0:t>
        </ns0:is>
      </ns0:c>
    </ns0:row>
    <ns0:row r="14">
      <ns0:c r="A14" t="inlineStr">
        <ns0:is>
          <ns0:t>Accuracy</ns0:t>
        </ns0:is>
      </ns0:c>
      <ns0:c r="B14" t="inlineStr">
        <ns0:is>
          <ns0:t>ACC</ns0:t>
        </ns0:is>
      </ns0:c>
      <ns0:c r="C14" t="inlineStr">
        <ns0:is>
          <ns0:t>%</ns0:t>
        </ns0:is>
      </ns0:c>
      <ns0:c r="D14" t="inlineStr">
        <ns0:is>
          <ns0:t>F_ACC = T_B_ACC × (1 + T_ACC_MOD)</ns0:t>
        </ns0:is>
      </ns0:c>
      <ns0:c r="E14" t="inlineStr">
        <ns0:is>
          <ns0:t>The character's accuracy percentage, combined with the target's Evasion to calculate the final hit chance.</ns0:t>
        </ns0:is>
      </ns0:c>
    </ns0:row>
    <ns0:row r="15">
      <ns0:c r="A15" t="inlineStr">
        <ns0:is>
          <ns0:t>Evasion</ns0:t>
        </ns0:is>
      </ns0:c>
      <ns0:c r="B15" t="inlineStr">
        <ns0:is>
          <ns0:t>EVA</ns0:t>
        </ns0:is>
      </ns0:c>
      <ns0:c r="C15" t="inlineStr">
        <ns0:is>
          <ns0:t>%</ns0:t>
        </ns0:is>
      </ns0:c>
      <ns0:c r="D15" t="inlineStr">
        <ns0:is>
          <ns0:t>F_EVA = T_B_EVA × (1 + T_EVA_MOD)</ns0:t>
        </ns0:is>
      </ns0:c>
      <ns0:c r="E15" t="inlineStr">
        <ns0:is>
          <ns0:t>The character's evasion percentage, combined with the attacker's Accuracy to calculate the final hit chance.</ns0:t>
        </ns0:is>
      </ns0:c>
    </ns0:row>
    <ns0:row r="16">
      <ns0:c r="A16" t="inlineStr">
        <ns0:is>
          <ns0:t>Healing Amplification</ns0:t>
        </ns0:is>
      </ns0:c>
      <ns0:c r="B16" t="inlineStr">
        <ns0:is>
          <ns0:t>HA</ns0:t>
        </ns0:is>
      </ns0:c>
      <ns0:c r="C16" t="inlineStr">
        <ns0:is>
          <ns0:t>%</ns0:t>
        </ns0:is>
      </ns0:c>
      <ns0:c r="D16" t="inlineStr">
        <ns0:is>
          <ns0:t>F_HA = T_B_HA × (1 + T_HA_MOD)</ns0:t>
        </ns0:is>
      </ns0:c>
      <ns0:c r="E16" t="inlineStr">
        <ns0:is>
          <ns0:t>Increases healing and HP regeneration received by the character. A value of 20% increases the amount restored by 20%.</ns0:t>
        </ns0:is>
      </ns0:c>
    </ns0:row>
    <ns0:row r="17">
      <ns0:c r="A17" t="inlineStr">
        <ns0:is>
          <ns0:t>Stat Effectiveness</ns0:t>
        </ns0:is>
      </ns0:c>
      <ns0:c r="B17" t="inlineStr">
        <ns0:is>
          <ns0:t>SE</ns0:t>
        </ns0:is>
      </ns0:c>
      <ns0:c r="C17" t="inlineStr">
        <ns0:is>
          <ns0:t>%</ns0:t>
        </ns0:is>
      </ns0:c>
      <ns0:c r="D17" t="inlineStr">
        <ns0:is>
          <ns0:t>F_SE = T_B_SE × (1 + T_SE_MOD)</ns0:t>
        </ns0:is>
      </ns0:c>
      <ns0:c r="E17" t="inlineStr">
        <ns0:is>
          <ns0:t>A multiplier applied to Total Stats to determine their Final values. It does not multiply itself. A value of 100% leaves values unchanged; 120% multiplies them by 1.2.</ns0:t>
        </ns0:is>
      </ns0:c>
    </ns0:row>
    <ns0:row r="19">
      <ns0:c r="A19" t="inlineStr">
        <ns0:is>
          <ns0:t>Term (mechanic)</ns0:t>
        </ns0:is>
      </ns0:c>
      <ns0:c r="B19" t="inlineStr">
        <ns0:is>
          <ns0:t>Symbol</ns0:t>
        </ns0:is>
      </ns0:c>
      <ns0:c r="C19" t="inlineStr">
        <ns0:is>
          <ns0:t>Unit</ns0:t>
        </ns0:is>
      </ns0:c>
      <ns0:c r="D19" t="inlineStr">
        <ns0:is>
          <ns0:t>Formula</ns0:t>
        </ns0:is>
      </ns0:c>
      <ns0:c r="E19" t="inlineStr">
        <ns0:is>
          <ns0:t>Definition</ns0:t>
        </ns0:is>
      </ns0:c>
    </ns0:row>
    <ns0:row r="20">
      <ns0:c r="A20" t="inlineStr">
        <ns0:is>
          <ns0:t>Roll Value</ns0:t>
        </ns0:is>
      </ns0:c>
      <ns0:c r="B20" t="inlineStr">
        <ns0:is>
          <ns0:t>R</ns0:t>
        </ns0:is>
      </ns0:c>
      <ns0:c r="C20" t="inlineStr">
        <ns0:is>
          <ns0:t>%</ns0:t>
        </ns0:is>
      </ns0:c>
      <ns0:c r="D20" t="inlineStr">
        <ns0:is>
          <ns0:t>R = UniformRandom(0, 1)</ns0:t>
        </ns0:is>
      </ns0:c>
      <ns0:c r="E20" t="inlineStr">
        <ns0:is>
          <ns0:t>A random value sampled uniformly from 0 inclusive to 1 exclusive. Each roll is independent.</ns0:t>
        </ns0:is>
      </ns0:c>
    </ns0:row>
    <ns0:row r="21">
      <ns0:c r="A21" t="inlineStr">
        <ns0:is>
          <ns0:t>Roll Success</ns0:t>
        </ns0:is>
      </ns0:c>
      <ns0:c r="B21" t="inlineStr">
        <ns0:is>
          <ns0:t>S</ns0:t>
        </ns0:is>
      </ns0:c>
      <ns0:c r="C21" t="inlineStr">
        <ns0:is>
          <ns0:t>Boolean</ns0:t>
        </ns0:is>
      </ns0:c>
      <ns0:c r="D21" t="inlineStr">
        <ns0:is>
          <ns0:t>S = (R &lt; P)</ns0:t>
        </ns0:is>
      </ns0:c>
      <ns0:c r="E21" t="inlineStr">
        <ns0:is>
          <ns0:t>A probability check succeeds when the roll value is strictly less than the checked probability P. Probabilities of 0% or lower always fail; probabilities of 100% or higher always succeed.</ns0:t>
        </ns0:is>
      </ns0:c>
    </ns0:row>
    <ns0:row r="22">
      <ns0:c r="A22" t="inlineStr">
        <ns0:is>
          <ns0:t>Hit Roll</ns0:t>
        </ns0:is>
      </ns0:c>
      <ns0:c r="B22" t="inlineStr">
        <ns0:is>
          <ns0:t>HIT</ns0:t>
        </ns0:is>
      </ns0:c>
      <ns0:c r="C22" t="inlineStr">
        <ns0:is>
          <ns0:t>Boolean</ns0:t>
        </ns0:is>
      </ns0:c>
      <ns0:c r="D22" t="inlineStr">
        <ns0:is>
          <ns0:t>HIT = (R_HIT &lt; HC)</ns0:t>
        </ns0:is>
      </ns0:c>
      <ns0:c r="E22" t="inlineStr">
        <ns0:is>
          <ns0:t>Checks whether a hit lands by comparing a random roll with the calculated Hit Chance.</ns0:t>
        </ns0:is>
      </ns0:c>
    </ns0:row>
    <ns0:row r="23">
      <ns0:c r="A23" t="inlineStr">
        <ns0:is>
          <ns0:t>Critical Roll</ns0:t>
        </ns0:is>
      </ns0:c>
      <ns0:c r="B23" t="inlineStr">
        <ns0:is>
          <ns0:t>CRIT</ns0:t>
        </ns0:is>
      </ns0:c>
      <ns0:c r="C23" t="inlineStr">
        <ns0:is>
          <ns0:t>Boolean</ns0:t>
        </ns0:is>
      </ns0:c>
      <ns0:c r="D23" t="inlineStr">
        <ns0:is>
          <ns0:t>CRIT = (R_CRIT &lt; F_CHC)</ns0:t>
        </ns0:is>
      </ns0:c>
      <ns0:c r="E23" t="inlineStr">
        <ns0:is>
          <ns0:t>Checks whether an eligible landed hit becomes critical by comparing a separate random roll with the attacker's Final Critical Hit Chance.</ns0:t>
        </ns0:is>
      </ns0:c>
    </ns0:row>
    <ns0:row r="24">
      <ns0:c r="A24" t="inlineStr">
        <ns0:is>
          <ns0:t>Multi-Hit Roll</ns0:t>
        </ns0:is>
      </ns0:c>
      <ns0:c r="B24" t="inlineStr">
        <ns0:is>
          <ns0:t>HITS</ns0:t>
        </ns0:is>
      </ns0:c>
      <ns0:c r="C24" t="inlineStr">
        <ns0:is>
          <ns0:t>Hits</ns0:t>
        </ns0:is>
      </ns0:c>
      <ns0:c r="D24" t="inlineStr">
        <ns0:is>
          <ns0:t>HITS = floor(F_MHR) + IF(R_MHR &lt; F_MHR - floor(F_MHR), 1, 0)</ns0:t>
        </ns0:is>
      </ns0:c>
      <ns0:c r="E24" t="inlineStr">
        <ns0:is>
          <ns0:t>Determines the number of hits generated by an attack. Full hundreds grant guaranteed hits; the fractional remainder determines the chance of one additional hit. Requires a non-negative Final Multi-Hit Rate.</ns0:t>
        </ns0:is>
      </ns0:c>
    </ns0:row>
    <ns0:row r="25">
      <ns0:c r="A25" t="inlineStr">
        <ns0:is>
          <ns0:t>Hit Chance</ns0:t>
        </ns0:is>
      </ns0:c>
      <ns0:c r="B25" t="inlineStr">
        <ns0:is>
          <ns0:t>HC</ns0:t>
        </ns0:is>
      </ns0:c>
      <ns0:c r="C25" t="inlineStr">
        <ns0:is>
          <ns0:t>%</ns0:t>
        </ns0:is>
      </ns0:c>
      <ns0:c r="D25" t="inlineStr">
        <ns0:is>
          <ns0:t>HC = Attacker.F_ACC - Target.F_EVA</ns0:t>
        </ns0:is>
      </ns0:c>
      <ns0:c r="E25" t="inlineStr">
        <ns0:is>
          <ns0:t>A hidden stat calculated for each attack against a target. It determines the probability of a hit and is not displayed on the character stat panel.</ns0:t>
        </ns0:is>
      </ns0:c>
    </ns0:row>
    <ns0:row r="26">
      <ns0:c r="A26" t="inlineStr">
        <ns0:is>
          <ns0:t>Damage</ns0:t>
        </ns0:is>
      </ns0:c>
      <ns0:c r="B26" t="inlineStr">
        <ns0:is>
          <ns0:t>DMG</ns0:t>
        </ns0:is>
      </ns0:c>
      <ns0:c r="C26" t="inlineStr">
        <ns0:is>
          <ns0:t>Points</ns0:t>
        </ns0:is>
      </ns0:c>
      <ns0:c r="D26" t="inlineStr">
        <ns0:is>
          <ns0:t>DMG = Attacker.F_ATK × (1 − MIT)</ns0:t>
        </ns0:is>
      </ns0:c>
      <ns0:c r="E26" t="inlineStr">
        <ns0:is>
          <ns0:t>The actual damage received from a normal attack after mitigation is applied.</ns0:t>
        </ns0:is>
      </ns0:c>
    </ns0:row>
    <ns0:row r="27">
      <ns0:c r="A27" t="inlineStr">
        <ns0:is>
          <ns0:t>Mitigation</ns0:t>
        </ns0:is>
      </ns0:c>
      <ns0:c r="B27" t="inlineStr">
        <ns0:is>
          <ns0:t>MIT</ns0:t>
        </ns0:is>
      </ns0:c>
      <ns0:c r="C27" t="inlineStr">
        <ns0:is>
          <ns0:t>%</ns0:t>
        </ns0:is>
      </ns0:c>
      <ns0:c r="D27" t="inlineStr">
        <ns0:is>
          <ns0:t>MIT = Target.F_DEF / (Target.F_DEF + K)</ns0:t>
        </ns0:is>
      </ns0:c>
      <ns0:c r="E27" t="inlineStr">
        <ns0:is>
          <ns0:t>The percentage of incoming normal attack damage prevented. For example, 40% Mitigation means the character receives 60% of the incoming normal attack damage.</ns0:t>
        </ns0:is>
      </ns0:c>
    </ns0:row>
    <ns0:row r="28">
      <ns0:c r="A28" t="inlineStr">
        <ns0:is>
          <ns0:t>Skill Damage</ns0:t>
        </ns0:is>
      </ns0:c>
      <ns0:c r="B28" t="inlineStr">
        <ns0:is>
          <ns0:t>SDMG</ns0:t>
        </ns0:is>
      </ns0:c>
      <ns0:c r="C28" t="inlineStr">
        <ns0:is>
          <ns0:t>Points</ns0:t>
        </ns0:is>
      </ns0:c>
      <ns0:c r="D28" t="inlineStr">
        <ns0:is>
          <ns0:t>SDMG = Attacker.F_SATK × (1 − SMIT)</ns0:t>
        </ns0:is>
      </ns0:c>
      <ns0:c r="E28" t="inlineStr">
        <ns0:is>
          <ns0:t>The actual damage received from a skill after skill mitigation is applied.</ns0:t>
        </ns0:is>
      </ns0:c>
    </ns0:row>
    <ns0:row r="29">
      <ns0:c r="A29" t="inlineStr">
        <ns0:is>
          <ns0:t>Skill Mitigation</ns0:t>
        </ns0:is>
      </ns0:c>
      <ns0:c r="B29" t="inlineStr">
        <ns0:is>
          <ns0:t>SMIT</ns0:t>
        </ns0:is>
      </ns0:c>
      <ns0:c r="C29" t="inlineStr">
        <ns0:is>
          <ns0:t>%</ns0:t>
        </ns0:is>
      </ns0:c>
      <ns0:c r="D29" t="inlineStr">
        <ns0:is>
          <ns0:t>SMIT = Target.F_SDEF / (Target.F_SDEF + K)</ns0:t>
        </ns0:is>
      </ns0:c>
      <ns0:c r="E29" t="inlineStr">
        <ns0:is>
          <ns0:t>The percentage of incoming skill damage prevented. For example, 40% Skill Mitigation means the character receives 60% of the incoming skill damage.</ns0:t>
        </ns0:is>
      </ns0:c>
    </ns0:row>
    <ns0:row r="30">
      <ns0:c r="A30" t="inlineStr">
        <ns0:is>
          <ns0:t>Power Constant</ns0:t>
        </ns0:is>
      </ns0:c>
      <ns0:c r="B30" t="inlineStr">
        <ns0:is>
          <ns0:t>K</ns0:t>
        </ns0:is>
      </ns0:c>
      <ns0:c r="C30" t="inlineStr">
        <ns0:is>
          <ns0:t>Points</ns0:t>
        </ns0:is>
      </ns0:c>
      <ns0:c r="E30" t="inlineStr">
        <ns0:is>
          <ns0:t>A fixed reference value used to express and compare the numerical scale of stats. Stat values may be defined as multiples of K; their actual gameplay effectiveness depends on the applicable formulas.</ns0:t>
        </ns0:is>
      </ns0:c>
    </ns0:row>
    <ns0:row r="34">
      <ns0:c r="A34" t="inlineStr">
        <ns0:is>
          <ns0:t>Term (general)</ns0:t>
        </ns0:is>
      </ns0:c>
      <ns0:c r="B34" t="inlineStr">
        <ns0:is>
          <ns0:t>Symbol</ns0:t>
        </ns0:is>
      </ns0:c>
      <ns0:c r="C34" t="inlineStr">
        <ns0:is>
          <ns0:t>Unit</ns0:t>
        </ns0:is>
      </ns0:c>
      <ns0:c r="D34" t="inlineStr">
        <ns0:is>
          <ns0:t>Formula</ns0:t>
        </ns0:is>
      </ns0:c>
      <ns0:c r="E34" t="inlineStr">
        <ns0:is>
          <ns0:t>Definition</ns0:t>
        </ns0:is>
      </ns0:c>
    </ns0:row>
    <ns0:row r="35">
      <ns0:c r="A35" t="inlineStr">
        <ns0:is>
          <ns0:t>Stat</ns0:t>
        </ns0:is>
      </ns0:c>
      <ns0:c r="B35" t="inlineStr">
        <ns0:is>
          <ns0:t>X</ns0:t>
        </ns0:is>
      </ns0:c>
      <ns0:c r="C35" t="inlineStr">
        <ns0:is>
          <ns0:t>Depends on stat</ns0:t>
        </ns0:is>
      </ns0:c>
      <ns0:c r="E35" t="inlineStr">
        <ns0:is>
          <ns0:t>A numerical attribute or parameter that describes a property of a character, item, or skill and is used to determine gameplay outcomes.</ns0:t>
        </ns0:is>
      </ns0:c>
    </ns0:row>
    <ns0:row r="36">
      <ns0:c r="A36" t="inlineStr">
        <ns0:is>
          <ns0:t>Character Base Stat</ns0:t>
        </ns0:is>
      </ns0:c>
      <ns0:c r="B36" t="inlineStr">
        <ns0:is>
          <ns0:t>C_B_X</ns0:t>
        </ns0:is>
      </ns0:c>
      <ns0:c r="C36" t="inlineStr">
        <ns0:is>
          <ns0:t>Same as X</ns0:t>
        </ns0:is>
      </ns0:c>
      <ns0:c r="E36" t="inlineStr">
        <ns0:is>
          <ns0:t>The original value of a stat belonging to a character, before contributions from items, skills, or other sources and before any modifiers are applied.</ns0:t>
        </ns0:is>
      </ns0:c>
    </ns0:row>
    <ns0:row r="37">
      <ns0:c r="A37" t="inlineStr">
        <ns0:is>
          <ns0:t>Item Base Stat</ns0:t>
        </ns0:is>
      </ns0:c>
      <ns0:c r="B37" t="inlineStr">
        <ns0:is>
          <ns0:t>I_B_X</ns0:t>
        </ns0:is>
      </ns0:c>
      <ns0:c r="C37" t="inlineStr">
        <ns0:is>
          <ns0:t>Same as X</ns0:t>
        </ns0:is>
      </ns0:c>
      <ns0:c r="E37" t="inlineStr">
        <ns0:is>
          <ns0:t>The original value of a stat belonging to an item, before any modifiers are applied.</ns0:t>
        </ns0:is>
      </ns0:c>
    </ns0:row>
    <ns0:row r="38">
      <ns0:c r="A38" t="inlineStr">
        <ns0:is>
          <ns0:t>Skill Base Stat</ns0:t>
        </ns0:is>
      </ns0:c>
      <ns0:c r="B38" t="inlineStr">
        <ns0:is>
          <ns0:t>S_B_X</ns0:t>
        </ns0:is>
      </ns0:c>
      <ns0:c r="C38" t="inlineStr">
        <ns0:is>
          <ns0:t>Same as X</ns0:t>
        </ns0:is>
      </ns0:c>
      <ns0:c r="E38" t="inlineStr">
        <ns0:is>
          <ns0:t>The original value of a stat belonging to a skill, before any modifiers are applied.</ns0:t>
        </ns0:is>
      </ns0:c>
    </ns0:row>
    <ns0:row r="39">
      <ns0:c r="A39" t="inlineStr">
        <ns0:is>
          <ns0:t>Total Base Stat</ns0:t>
        </ns0:is>
      </ns0:c>
      <ns0:c r="B39" t="inlineStr">
        <ns0:is>
          <ns0:t>T_B_X</ns0:t>
        </ns0:is>
      </ns0:c>
      <ns0:c r="C39" t="inlineStr">
        <ns0:is>
          <ns0:t>Same as X</ns0:t>
        </ns0:is>
      </ns0:c>
      <ns0:c r="D39" t="inlineStr">
        <ns0:is>
          <ns0:t>T_B_X = Σ Base Contributions</ns0:t>
        </ns0:is>
      </ns0:c>
      <ns0:c r="E39" t="inlineStr">
        <ns0:is>
          <ns0:t>The sum of all base contributions to the same stat type from characters, items, skills, and other applicable sources.</ns0:t>
        </ns0:is>
      </ns0:c>
    </ns0:row>
    <ns0:row r="40">
      <ns0:c r="A40" t="inlineStr">
        <ns0:is>
          <ns0:t>Total Stat</ns0:t>
        </ns0:is>
      </ns0:c>
      <ns0:c r="B40" t="inlineStr">
        <ns0:is>
          <ns0:t>T_X</ns0:t>
        </ns0:is>
      </ns0:c>
      <ns0:c r="C40" t="inlineStr">
        <ns0:is>
          <ns0:t>Same as X</ns0:t>
        </ns0:is>
      </ns0:c>
      <ns0:c r="D40" t="inlineStr">
        <ns0:is>
          <ns0:t>T_X = T_B_X + T_INC_X</ns0:t>
        </ns0:is>
      </ns0:c>
      <ns0:c r="E40" t="inlineStr">
        <ns0:is>
          <ns0:t>The combined value of a stat before Stat Effectiveness is applied.</ns0:t>
        </ns0:is>
      </ns0:c>
    </ns0:row>
    <ns0:row r="41">
      <ns0:c r="A41" t="inlineStr">
        <ns0:is>
          <ns0:t>Final Stat</ns0:t>
        </ns0:is>
      </ns0:c>
      <ns0:c r="B41" t="inlineStr">
        <ns0:is>
          <ns0:t>F_X</ns0:t>
        </ns0:is>
      </ns0:c>
      <ns0:c r="C41" t="inlineStr">
        <ns0:is>
          <ns0:t>Same as X</ns0:t>
        </ns0:is>
      </ns0:c>
      <ns0:c r="D41" t="inlineStr">
        <ns0:is>
          <ns0:t>F_X = T_X × SE</ns0:t>
        </ns0:is>
      </ns0:c>
      <ns0:c r="E41" t="inlineStr">
        <ns0:is>
          <ns0:t>The resulting value of a stat after Stat Effectiveness is applied to its Total Stat. Stat Effectiveness itself is excluded from this multiplication.</ns0:t>
        </ns0:is>
      </ns0:c>
    </ns0:row>
    <ns0:row r="42">
      <ns0:c r="A42" t="inlineStr">
        <ns0:is>
          <ns0:t>Increased Stat</ns0:t>
        </ns0:is>
      </ns0:c>
      <ns0:c r="B42" t="inlineStr">
        <ns0:is>
          <ns0:t>INC_X</ns0:t>
        </ns0:is>
      </ns0:c>
      <ns0:c r="C42" t="inlineStr">
        <ns0:is>
          <ns0:t>Same as X</ns0:t>
        </ns0:is>
      </ns0:c>
      <ns0:c r="D42" t="inlineStr">
        <ns0:is>
          <ns0:t>INC_X = T_B_X × X_MOD</ns0:t>
        </ns0:is>
      </ns0:c>
      <ns0:c r="E42" t="inlineStr">
        <ns0:is>
          <ns0:t>The amount added to or subtracted from a stat, calculated by multiplying its Total Base Stat by the applicable percentage modifier.</ns0:t>
        </ns0:is>
      </ns0:c>
    </ns0:row>
    <ns0:row r="43">
      <ns0:c r="A43" t="inlineStr">
        <ns0:is>
          <ns0:t>Character Increased Stat</ns0:t>
        </ns0:is>
      </ns0:c>
      <ns0:c r="B43" t="inlineStr">
        <ns0:is>
          <ns0:t>C_INC_X</ns0:t>
        </ns0:is>
      </ns0:c>
      <ns0:c r="C43" t="inlineStr">
        <ns0:is>
          <ns0:t>Same as X</ns0:t>
        </ns0:is>
      </ns0:c>
      <ns0:c r="D43" t="inlineStr">
        <ns0:is>
          <ns0:t>C_INC_X = T_B_X × C_X_MOD</ns0:t>
        </ns0:is>
      </ns0:c>
      <ns0:c r="E43" t="inlineStr">
        <ns0:is>
          <ns0:t>The amount added to or subtracted from a stat by character-sourced percentage modifiers, calculated using its Total Base Stat.</ns0:t>
        </ns0:is>
      </ns0:c>
    </ns0:row>
    <ns0:row r="44">
      <ns0:c r="A44" t="inlineStr">
        <ns0:is>
          <ns0:t>Item Increased Stat</ns0:t>
        </ns0:is>
      </ns0:c>
      <ns0:c r="B44" t="inlineStr">
        <ns0:is>
          <ns0:t>I_INC_X</ns0:t>
        </ns0:is>
      </ns0:c>
      <ns0:c r="C44" t="inlineStr">
        <ns0:is>
          <ns0:t>Same as X</ns0:t>
        </ns0:is>
      </ns0:c>
      <ns0:c r="D44" t="inlineStr">
        <ns0:is>
          <ns0:t>I_INC_X = T_B_X × I_X_MOD</ns0:t>
        </ns0:is>
      </ns0:c>
      <ns0:c r="E44" t="inlineStr">
        <ns0:is>
          <ns0:t>The amount added to or subtracted from a stat by item-sourced percentage modifiers, calculated using its Total Base Stat, not the item's own Base Stat.</ns0:t>
        </ns0:is>
      </ns0:c>
    </ns0:row>
    <ns0:row r="45">
      <ns0:c r="A45" t="inlineStr">
        <ns0:is>
          <ns0:t>Skill Increased Stat</ns0:t>
        </ns0:is>
      </ns0:c>
      <ns0:c r="B45" t="inlineStr">
        <ns0:is>
          <ns0:t>S_INC_X</ns0:t>
        </ns0:is>
      </ns0:c>
      <ns0:c r="C45" t="inlineStr">
        <ns0:is>
          <ns0:t>Same as X</ns0:t>
        </ns0:is>
      </ns0:c>
      <ns0:c r="D45" t="inlineStr">
        <ns0:is>
          <ns0:t>S_INC_X = T_B_X × S_X_MOD</ns0:t>
        </ns0:is>
      </ns0:c>
      <ns0:c r="E45" t="inlineStr">
        <ns0:is>
          <ns0:t>The amount added to or subtracted from a stat by skill-sourced percentage modifiers, calculated using its Total Base Stat.</ns0:t>
        </ns0:is>
      </ns0:c>
    </ns0:row>
    <ns0:row r="46">
      <ns0:c r="A46" t="inlineStr">
        <ns0:is>
          <ns0:t>Total Increased Stat</ns0:t>
        </ns0:is>
      </ns0:c>
      <ns0:c r="B46" t="inlineStr">
        <ns0:is>
          <ns0:t>T_INC_X</ns0:t>
        </ns0:is>
      </ns0:c>
      <ns0:c r="C46" t="inlineStr">
        <ns0:is>
          <ns0:t>Same as X</ns0:t>
        </ns0:is>
      </ns0:c>
      <ns0:c r="D46" t="inlineStr">
        <ns0:is>
          <ns0:t>T_INC_X = Σ Increased Contributions = T_B_X × T_X_MOD</ns0:t>
        </ns0:is>
      </ns0:c>
      <ns0:c r="E46" t="inlineStr">
        <ns0:is>
          <ns0:t>The sum of all increases and decreases to the same stat type, calculated from its Total Base Stat and applicable percentage modifiers.</ns0:t>
        </ns0:is>
      </ns0:c>
    </ns0:row>
    <ns0:row r="47">
      <ns0:c r="A47" t="inlineStr">
        <ns0:is>
          <ns0:t>Modifier</ns0:t>
        </ns0:is>
      </ns0:c>
      <ns0:c r="B47" t="inlineStr">
        <ns0:is>
          <ns0:t>MOD</ns0:t>
        </ns0:is>
      </ns0:c>
      <ns0:c r="C47" t="inlineStr">
        <ns0:is>
          <ns0:t>%</ns0:t>
        </ns0:is>
      </ns0:c>
      <ns0:c r="E47" t="inlineStr">
        <ns0:is>
          <ns0:t>A percentage adjustment that increases or decreases a specified reference value.</ns0:t>
        </ns0:is>
      </ns0:c>
    </ns0:row>
    <ns0:row r="48">
      <ns0:c r="A48" t="inlineStr">
        <ns0:is>
          <ns0:t>Stat Modifier</ns0:t>
        </ns0:is>
      </ns0:c>
      <ns0:c r="B48" t="inlineStr">
        <ns0:is>
          <ns0:t>X_MOD</ns0:t>
        </ns0:is>
      </ns0:c>
      <ns0:c r="C48" t="inlineStr">
        <ns0:is>
          <ns0:t>%</ns0:t>
        </ns0:is>
      </ns0:c>
      <ns0:c r="E48" t="inlineStr">
        <ns0:is>
          <ns0:t>A percentage adjustment applied to the Total Base Stat of the same stat type. Its source does not change the reference value.</ns0:t>
        </ns0:is>
      </ns0:c>
    </ns0:row>
    <ns0:row r="49">
      <ns0:c r="A49" t="inlineStr">
        <ns0:is>
          <ns0:t>Character Stat Modifier</ns0:t>
        </ns0:is>
      </ns0:c>
      <ns0:c r="B49" t="inlineStr">
        <ns0:is>
          <ns0:t>C_X_MOD</ns0:t>
        </ns0:is>
      </ns0:c>
      <ns0:c r="C49" t="inlineStr">
        <ns0:is>
          <ns0:t>%</ns0:t>
        </ns0:is>
      </ns0:c>
      <ns0:c r="E49" t="inlineStr">
        <ns0:is>
          <ns0:t>A Stat Modifier provided by a character, applied to the Total Base Stat of the same stat type.</ns0:t>
        </ns0:is>
      </ns0:c>
    </ns0:row>
    <ns0:row r="50">
      <ns0:c r="A50" t="inlineStr">
        <ns0:is>
          <ns0:t>Item Stat Modifier</ns0:t>
        </ns0:is>
      </ns0:c>
      <ns0:c r="B50" t="inlineStr">
        <ns0:is>
          <ns0:t>I_X_MOD</ns0:t>
        </ns0:is>
      </ns0:c>
      <ns0:c r="C50" t="inlineStr">
        <ns0:is>
          <ns0:t>%</ns0:t>
        </ns0:is>
      </ns0:c>
      <ns0:c r="E50" t="inlineStr">
        <ns0:is>
          <ns0:t>A Stat Modifier provided by an item, applied to the Total Base Stat of the same stat type, not the item's own Base Stat.</ns0:t>
        </ns0:is>
      </ns0:c>
    </ns0:row>
    <ns0:row r="51">
      <ns0:c r="A51" t="inlineStr">
        <ns0:is>
          <ns0:t>Skill Stat Modifier</ns0:t>
        </ns0:is>
      </ns0:c>
      <ns0:c r="B51" t="inlineStr">
        <ns0:is>
          <ns0:t>S_X_MOD</ns0:t>
        </ns0:is>
      </ns0:c>
      <ns0:c r="C51" t="inlineStr">
        <ns0:is>
          <ns0:t>%</ns0:t>
        </ns0:is>
      </ns0:c>
      <ns0:c r="E51" t="inlineStr">
        <ns0:is>
          <ns0:t>A Stat Modifier provided by a skill, applied to the Total Base Stat of the same stat type.</ns0:t>
        </ns0:is>
      </ns0:c>
    </ns0:row>
    <ns0:row r="52">
      <ns0:c r="A52" t="inlineStr">
        <ns0:is>
          <ns0:t>Total Stat Modifier</ns0:t>
        </ns0:is>
      </ns0:c>
      <ns0:c r="B52" t="inlineStr">
        <ns0:is>
          <ns0:t>T_X_MOD</ns0:t>
        </ns0:is>
      </ns0:c>
      <ns0:c r="C52" t="inlineStr">
        <ns0:is>
          <ns0:t>%</ns0:t>
        </ns0:is>
      </ns0:c>
      <ns0:c r="D52" t="inlineStr">
        <ns0:is>
          <ns0:t>T_X_MOD = Σ Applicable Stat Modifiers</ns0:t>
        </ns0:is>
      </ns0:c>
      <ns0:c r="E52" t="inlineStr">
        <ns0:is>
          <ns0:t>The sum of all applicable Stat Modifiers for the same stat type. Modifiers stack additively, not multiplicatively.</ns0:t>
        </ns0:is>
      </ns0:c>
    </ns0:row>
    <ns0:row r="53">
      <ns0:c r="A53" t="inlineStr">
        <ns0:is>
          <ns0:t>Trigger</ns0:t>
        </ns0:is>
      </ns0:c>
      <ns0:c r="B53" t="inlineStr">
        <ns0:is>
          <ns0:t>TRG</ns0:t>
        </ns0:is>
      </ns0:c>
      <ns0:c r="C53" t="inlineStr">
        <ns0:is>
          <ns0:t>N/A</ns0:t>
        </ns0:is>
      </ns0:c>
      <ns0:c r="E53" t="inlineStr">
        <ns0:is>
          <ns0:t>A specified event that initiates a check to activate an effect. The effect activates only if its required conditions and probability check are satisfied.</ns0:t>
        </ns0:is>
      </ns0:c>
    </ns0:row>
    <ns0:row r="54">
      <ns0:c r="A54" t="inlineStr">
        <ns0:is>
          <ns0:t>Trigger Rate</ns0:t>
        </ns0:is>
      </ns0:c>
      <ns0:c r="B54" t="inlineStr">
        <ns0:is>
          <ns0:t>TR</ns0:t>
        </ns0:is>
      </ns0:c>
      <ns0:c r="C54" t="inlineStr">
        <ns0:is>
          <ns0:t>%</ns0:t>
        </ns0:is>
      </ns0:c>
      <ns0:c r="E54" t="inlineStr">
        <ns0:is>
          <ns0:t>A probability that an effect activates when its trigger event occurs and all required conditions are satisfied. A separate roll is performed for each eligible trigger occurrence.</ns0:t>
        </ns0:is>
      </ns0:c>
    </ns0:row>
  </ns0:sheetData>
  <ns0:pageMargins left="0.75" right="0.75" top="1" bottom="1" header="0.5" footer="0.5"/>
</ns0:worksheet>
</file>

<file path=xl/worksheets/sheet5.xml><?xml version="1.0" encoding="utf-8"?>
<ns0:worksheet xmlns:ns0="http://schemas.openxmlformats.org/spreadsheetml/2006/main">
  <ns0:sheetPr>
    <ns0:outlinePr summaryBelow="1" summaryRight="1"/>
    <ns0:pageSetUpPr/>
  </ns0:sheetPr>
  <ns0:dimension ref="A2:F18"/>
  <ns0:sheetViews>
    <ns0:sheetView tabSelected="1" workbookViewId="0">
      <ns0:selection activeCell="H17" sqref="H17"/>
    </ns0:sheetView>
  </ns0:sheetViews>
  <ns0:sheetFormatPr baseColWidth="8" defaultColWidth="9.142857142857141" defaultRowHeight="15"/>
  <ns0:cols>
    <ns0:col width="29.7142857142857" customWidth="1" style="4" min="1" max="1"/>
    <ns0:col width="16.2857142857143" customWidth="1" style="12" min="2" max="3"/>
    <ns0:col width="10.2857142857143" customWidth="1" style="12" min="4" max="4"/>
    <ns0:col width="17" customWidth="1" style="12" min="5" max="5"/>
    <ns0:col width="24.5714285714286" customWidth="1" style="4" min="6" max="6"/>
  </ns0:cols>
  <ns0:sheetData>
    <ns0:row r="2">
      <ns0:c r="A2" s="2" t="inlineStr">
        <ns0:is>
          <ns0:t>Character</ns0:t>
        </ns0:is>
      </ns0:c>
      <ns0:c r="B2" s="13" t="inlineStr">
        <ns0:is>
          <ns0:t>Balance dummy</ns0:t>
        </ns0:is>
      </ns0:c>
      <ns0:c r="C2" s="13" t="inlineStr">
        <ns0:is>
          <ns0:t>K value</ns0:t>
        </ns0:is>
      </ns0:c>
      <ns0:c r="D2" s="13" t="inlineStr">
        <ns0:is>
          <ns0:t>K-relative</ns0:t>
        </ns0:is>
      </ns0:c>
      <ns0:c r="E2" t="inlineStr">
        <ns0:is>
          <ns0:t>CP per Stat Point</ns0:t>
        </ns0:is>
      </ns0:c>
      <ns0:c r="F2" s="12" t="inlineStr">
        <ns0:is>
          <ns0:t>Combat Power (CP)</ns0:t>
        </ns0:is>
      </ns0:c>
    </ns0:row>
    <ns0:row r="3">
      <ns0:c r="A3" t="inlineStr">
        <ns0:is>
          <ns0:t>HP</ns0:t>
        </ns0:is>
      </ns0:c>
      <ns0:c r="B3" s="12">
        <ns0:f>C3*D3</ns0:f>
        <ns0:v>20000</ns0:v>
      </ns0:c>
      <ns0:c r="C3" s="12" t="n">
        <ns0:v>1000</ns0:v>
      </ns0:c>
      <ns0:c r="D3" s="12" t="n">
        <ns0:v>20</ns0:v>
      </ns0:c>
      <ns0:c r="E3" s="12" t="n">
        <ns0:v>10</ns0:v>
      </ns0:c>
      <ns0:c r="F3" s="14">
        <ns0:f>E3*B3</ns0:f>
        <ns0:v>200000</ns0:v>
      </ns0:c>
    </ns0:row>
    <ns0:row r="4">
      <ns0:c r="A4" t="inlineStr">
        <ns0:is>
          <ns0:t>MP</ns0:t>
        </ns0:is>
      </ns0:c>
      <ns0:c r="B4" s="12">
        <ns0:f>C4*D4</ns0:f>
        <ns0:v>20000</ns0:v>
      </ns0:c>
      <ns0:c r="C4" s="12" t="n">
        <ns0:v>1000</ns0:v>
      </ns0:c>
      <ns0:c r="D4" s="12" t="n">
        <ns0:v>20</ns0:v>
      </ns0:c>
      <ns0:c r="E4" s="12" t="n">
        <ns0:v>10</ns0:v>
      </ns0:c>
      <ns0:c r="F4" s="14">
        <ns0:f>E4*B4</ns0:f>
        <ns0:v>200000</ns0:v>
      </ns0:c>
    </ns0:row>
    <ns0:row r="5">
      <ns0:c r="A5" t="inlineStr">
        <ns0:is>
          <ns0:t>Attack</ns0:t>
        </ns0:is>
      </ns0:c>
      <ns0:c r="B5" s="12">
        <ns0:f>C5*D5</ns0:f>
        <ns0:v>2000</ns0:v>
      </ns0:c>
      <ns0:c r="C5" s="12" t="n">
        <ns0:v>1000</ns0:v>
      </ns0:c>
      <ns0:c r="D5" s="12" t="n">
        <ns0:v>2</ns0:v>
      </ns0:c>
      <ns0:c r="E5" t="n">
        <ns0:v>100</ns0:v>
      </ns0:c>
      <ns0:c r="F5" s="14">
        <ns0:f>E5*B5</ns0:f>
        <ns0:v>200000</ns0:v>
      </ns0:c>
    </ns0:row>
    <ns0:row r="6">
      <ns0:c r="A6" t="inlineStr">
        <ns0:is>
          <ns0:t>Defense</ns0:t>
        </ns0:is>
      </ns0:c>
      <ns0:c r="B6" s="12">
        <ns0:f>C6*D6</ns0:f>
        <ns0:v>1000</ns0:v>
      </ns0:c>
      <ns0:c r="C6" s="12" t="n">
        <ns0:v>1000</ns0:v>
      </ns0:c>
      <ns0:c r="D6" s="12" t="n">
        <ns0:v>1</ns0:v>
      </ns0:c>
      <ns0:c r="E6" s="12" t="n">
        <ns0:v>100</ns0:v>
      </ns0:c>
      <ns0:c r="F6" s="14">
        <ns0:f>E6*B6</ns0:f>
        <ns0:v>100000</ns0:v>
      </ns0:c>
    </ns0:row>
    <ns0:row r="7">
      <ns0:c r="A7" t="inlineStr">
        <ns0:is>
          <ns0:t>Skill Attack</ns0:t>
        </ns0:is>
      </ns0:c>
      <ns0:c r="B7" s="12" t="n">
        <ns0:v>3000</ns0:v>
      </ns0:c>
      <ns0:c r="C7" s="12" t="n">
        <ns0:v>1000</ns0:v>
      </ns0:c>
      <ns0:c r="D7" s="12" t="n">
        <ns0:v>3</ns0:v>
      </ns0:c>
      <ns0:c r="E7" s="12" t="n">
        <ns0:v>100</ns0:v>
      </ns0:c>
      <ns0:c r="F7" s="14">
        <ns0:f>E7*B7</ns0:f>
        <ns0:v>300000</ns0:v>
      </ns0:c>
    </ns0:row>
    <ns0:row r="8">
      <ns0:c r="A8" t="inlineStr">
        <ns0:is>
          <ns0:t>Skill Defense</ns0:t>
        </ns0:is>
      </ns0:c>
      <ns0:c r="B8" s="12" t="n">
        <ns0:v>1000</ns0:v>
      </ns0:c>
      <ns0:c r="C8" s="12" t="n">
        <ns0:v>1000</ns0:v>
      </ns0:c>
      <ns0:c r="D8" s="12" t="n">
        <ns0:v>1</ns0:v>
      </ns0:c>
      <ns0:c r="E8" s="12" t="n">
        <ns0:v>150</ns0:v>
      </ns0:c>
      <ns0:c r="F8" s="14">
        <ns0:f>E8*B8</ns0:f>
        <ns0:v>150000</ns0:v>
      </ns0:c>
    </ns0:row>
    <ns0:row r="9">
      <ns0:c r="A9" t="inlineStr">
        <ns0:is>
          <ns0:t>AP Recovery</ns0:t>
        </ns0:is>
      </ns0:c>
      <ns0:c r="B9" s="12" t="n">
        <ns0:v>100</ns0:v>
      </ns0:c>
      <ns0:c r="C9" s="12" t="inlineStr">
        <ns0:is>
          <ns0:t>n/a</ns0:t>
        </ns0:is>
      </ns0:c>
      <ns0:c r="D9" s="12" t="inlineStr">
        <ns0:is>
          <ns0:t>n/a</ns0:t>
        </ns0:is>
      </ns0:c>
      <ns0:c r="E9" s="12" t="n">
        <ns0:v>2000</ns0:v>
      </ns0:c>
      <ns0:c r="F9" s="14">
        <ns0:f>E9*B9</ns0:f>
        <ns0:v>200000</ns0:v>
      </ns0:c>
    </ns0:row>
    <ns0:row r="10">
      <ns0:c r="A10" t="inlineStr">
        <ns0:is>
          <ns0:t>Skill Points Above 100</ns0:t>
        </ns0:is>
      </ns0:c>
      <ns0:c r="B10" s="12" t="n">
        <ns0:v>0</ns0:v>
      </ns0:c>
      <ns0:c r="C10" s="12" t="inlineStr">
        <ns0:is>
          <ns0:t>n/a</ns0:t>
        </ns0:is>
      </ns0:c>
      <ns0:c r="D10" s="12" t="inlineStr">
        <ns0:is>
          <ns0:t>n/a</ns0:t>
        </ns0:is>
      </ns0:c>
      <ns0:c r="E10" s="12" t="n">
        <ns0:v>6000</ns0:v>
      </ns0:c>
      <ns0:c r="F10" s="14">
        <ns0:f>E10*B10</ns0:f>
        <ns0:v>0</ns0:v>
      </ns0:c>
    </ns0:row>
    <ns0:row r="11">
      <ns0:c r="A11" t="inlineStr">
        <ns0:is>
          <ns0:t>Critical Hit Chance</ns0:t>
        </ns0:is>
      </ns0:c>
      <ns0:c r="B11" s="8" t="n">
        <ns0:v>0</ns0:v>
      </ns0:c>
      <ns0:c r="C11" s="12" t="inlineStr">
        <ns0:is>
          <ns0:t>n/a</ns0:t>
        </ns0:is>
      </ns0:c>
      <ns0:c r="D11" s="12" t="inlineStr">
        <ns0:is>
          <ns0:t>n/a</ns0:t>
        </ns0:is>
      </ns0:c>
      <ns0:c r="E11" s="12" t="n">
        <ns0:v>1000</ns0:v>
      </ns0:c>
      <ns0:c r="F11" s="14">
        <ns0:f>E11*B11</ns0:f>
        <ns0:v>0</ns0:v>
      </ns0:c>
    </ns0:row>
    <ns0:row r="12">
      <ns0:c r="A12" t="inlineStr">
        <ns0:is>
          <ns0:t>Critical Damage Bonus</ns0:t>
        </ns0:is>
      </ns0:c>
      <ns0:c r="B12" s="8" t="n">
        <ns0:v>0.5</ns0:v>
      </ns0:c>
      <ns0:c r="C12" s="12" t="inlineStr">
        <ns0:is>
          <ns0:t>n/a</ns0:t>
        </ns0:is>
      </ns0:c>
      <ns0:c r="D12" s="12" t="inlineStr">
        <ns0:is>
          <ns0:t>n/a</ns0:t>
        </ns0:is>
      </ns0:c>
      <ns0:c r="E12" s="12" t="n">
        <ns0:v>500</ns0:v>
      </ns0:c>
      <ns0:c r="F12" s="14">
        <ns0:f>E12*B12*100</ns0:f>
        <ns0:v>25000</ns0:v>
      </ns0:c>
    </ns0:row>
    <ns0:row r="13">
      <ns0:c r="A13" t="inlineStr">
        <ns0:is>
          <ns0:t>Multi-Hit Rate</ns0:t>
        </ns0:is>
      </ns0:c>
      <ns0:c r="B13" s="8" t="n">
        <ns0:v>1</ns0:v>
      </ns0:c>
      <ns0:c r="C13" s="12" t="inlineStr">
        <ns0:is>
          <ns0:t>n/a</ns0:t>
        </ns0:is>
      </ns0:c>
      <ns0:c r="D13" s="12" t="inlineStr">
        <ns0:is>
          <ns0:t>n/a</ns0:t>
        </ns0:is>
      </ns0:c>
      <ns0:c r="E13" s="12" t="n">
        <ns0:v>2000</ns0:v>
      </ns0:c>
      <ns0:c r="F13" s="14">
        <ns0:f>E13*B13*100</ns0:f>
        <ns0:v>200000</ns0:v>
      </ns0:c>
    </ns0:row>
    <ns0:row r="14">
      <ns0:c r="A14" t="inlineStr">
        <ns0:is>
          <ns0:t>Accuracy</ns0:t>
        </ns0:is>
      </ns0:c>
      <ns0:c r="B14" s="8" t="n">
        <ns0:v>1</ns0:v>
      </ns0:c>
      <ns0:c r="C14" s="12" t="inlineStr">
        <ns0:is>
          <ns0:t>n/a</ns0:t>
        </ns0:is>
      </ns0:c>
      <ns0:c r="D14" s="12" t="inlineStr">
        <ns0:is>
          <ns0:t>n/a</ns0:t>
        </ns0:is>
      </ns0:c>
      <ns0:c r="E14" s="12" t="n">
        <ns0:v>2000</ns0:v>
      </ns0:c>
      <ns0:c r="F14" s="14">
        <ns0:f>E14*B14*100</ns0:f>
        <ns0:v>200000</ns0:v>
      </ns0:c>
    </ns0:row>
    <ns0:row r="15">
      <ns0:c r="A15" t="inlineStr">
        <ns0:is>
          <ns0:t>Evasion</ns0:t>
        </ns0:is>
      </ns0:c>
      <ns0:c r="B15" s="8" t="n">
        <ns0:v>0</ns0:v>
      </ns0:c>
      <ns0:c r="C15" s="12" t="inlineStr">
        <ns0:is>
          <ns0:t>n/a</ns0:t>
        </ns0:is>
      </ns0:c>
      <ns0:c r="D15" s="12" t="inlineStr">
        <ns0:is>
          <ns0:t>n/a</ns0:t>
        </ns0:is>
      </ns0:c>
      <ns0:c r="E15" s="12" t="n">
        <ns0:v>2000</ns0:v>
      </ns0:c>
      <ns0:c r="F15" s="14">
        <ns0:f>E15*B15*100</ns0:f>
        <ns0:v>0</ns0:v>
      </ns0:c>
    </ns0:row>
    <ns0:row r="16">
      <ns0:c r="A16" t="inlineStr">
        <ns0:is>
          <ns0:t>Healing Amplification Above 100%</ns0:t>
        </ns0:is>
      </ns0:c>
      <ns0:c r="B16" s="8" t="n">
        <ns0:v>0</ns0:v>
      </ns0:c>
      <ns0:c r="C16" s="12" t="inlineStr">
        <ns0:is>
          <ns0:t>n/a</ns0:t>
        </ns0:is>
      </ns0:c>
      <ns0:c r="D16" s="12" t="inlineStr">
        <ns0:is>
          <ns0:t>n/a</ns0:t>
        </ns0:is>
      </ns0:c>
      <ns0:c r="E16" s="12" t="n">
        <ns0:v>2000</ns0:v>
      </ns0:c>
      <ns0:c r="F16" s="14">
        <ns0:f>E16*B16*100</ns0:f>
        <ns0:v>0</ns0:v>
      </ns0:c>
    </ns0:row>
    <ns0:row r="17">
      <ns0:c r="A17" t="inlineStr">
        <ns0:is>
          <ns0:t>Stat Effectiveness Above 100%</ns0:t>
        </ns0:is>
      </ns0:c>
      <ns0:c r="B17" s="8" t="n">
        <ns0:v>0</ns0:v>
      </ns0:c>
      <ns0:c r="C17" s="12" t="inlineStr">
        <ns0:is>
          <ns0:t>n/a</ns0:t>
        </ns0:is>
      </ns0:c>
      <ns0:c r="D17" s="12" t="inlineStr">
        <ns0:is>
          <ns0:t>n/a</ns0:t>
        </ns0:is>
      </ns0:c>
      <ns0:c r="E17" s="12" t="n">
        <ns0:v>46000</ns0:v>
      </ns0:c>
      <ns0:c r="F17" s="14">
        <ns0:f>E17*B17*100</ns0:f>
        <ns0:v>0</ns0:v>
      </ns0:c>
    </ns0:row>
    <ns0:row r="18">
      <ns0:c r="A18" t="inlineStr">
        <ns0:is>
          <ns0:t>Total</ns0:t>
        </ns0:is>
      </ns0:c>
      <ns0:c r="F18" s="14">
        <ns0:f>SUM(F3:F17)</ns0:f>
        <ns0:v>1775000</ns0:v>
      </ns0:c>
    </ns0:row>
  </ns0:sheetData>
  <ns0:pageMargins left="0.75" right="0.75" top="1" bottom="1" header="0.5" footer="0.5"/>
</ns0:worksheet>
</file>

<file path=xl/worksheets/sheet6.xml><?xml version="1.0" encoding="utf-8"?>
<ns0:worksheet xmlns:ns0="http://schemas.openxmlformats.org/spreadsheetml/2006/main">
  <ns0:sheetPr>
    <ns0:outlinePr summaryBelow="1" summaryRight="1"/>
    <ns0:pageSetUpPr/>
  </ns0:sheetPr>
  <ns0:dimension ref="A1:A1"/>
  <ns0:sheetViews>
    <ns0:sheetView workbookViewId="0">
      <ns0:selection activeCell="A1" sqref="A1"/>
    </ns0:sheetView>
  </ns0:sheetViews>
  <ns0:sheetFormatPr baseColWidth="8" defaultColWidth="9.142857142857141" defaultRowHeight="15"/>
  <ns0:sheetData/>
  <ns0:pageMargins left="0.75" right="0.75" top="1" bottom="1" header="0.5" footer="0.5"/>
</ns0:worksheet>
</file>

<file path=xl/worksheets/sheet7.xml><?xml version="1.0" encoding="utf-8"?>
<ns0:worksheet xmlns:ns0="http://schemas.openxmlformats.org/spreadsheetml/2006/main">
  <ns0:sheetPr>
    <ns0:tabColor rgb="00167D8D"/>
    <ns0:outlinePr summaryBelow="1" summaryRight="1"/>
    <ns0:pageSetUpPr fitToPage="1"/>
  </ns0:sheetPr>
  <ns0:dimension ref="A1:P140"/>
  <ns0:sheetViews>
    <ns0:sheetView showGridLines="0" workbookViewId="0">
      <ns0:pane xSplit="2" ySplit="1" topLeftCell="C2" activePane="bottomRight" state="frozen"/>
      <ns0:selection pane="topRight"/>
      <ns0:selection pane="bottomLeft"/>
      <ns0:selection pane="bottomRight" activeCell="A1" sqref="A1"/>
    </ns0:sheetView>
  </ns0:sheetViews>
  <ns0:sheetFormatPr baseColWidth="8" defaultRowHeight="15"/>
  <ns0:cols>
    <ns0:col width="30" customWidth="1" style="4" min="1" max="1"/>
    <ns0:col width="18" customWidth="1" style="4" min="2" max="2"/>
    <ns0:col width="18" customWidth="1" style="4" min="3" max="3"/>
    <ns0:col width="16" customWidth="1" style="4" min="4" max="4"/>
    <ns0:col width="16" customWidth="1" style="4" min="5" max="5"/>
    <ns0:col width="16" customWidth="1" style="4" min="6" max="6"/>
    <ns0:col width="27" customWidth="1" style="4" min="7" max="7"/>
    <ns0:col width="16" customWidth="1" style="4" min="8" max="8"/>
    <ns0:col width="16" customWidth="1" style="4" min="9" max="9"/>
    <ns0:col width="16" customWidth="1" style="4" min="10" max="10"/>
    <ns0:col width="16" customWidth="1" style="4" min="11" max="11"/>
    <ns0:col width="16" customWidth="1" style="4" min="12" max="12"/>
    <ns0:col width="16" customWidth="1" style="4" min="13" max="13"/>
    <ns0:col width="16" customWidth="1" style="4" min="14" max="14"/>
    <ns0:col width="16" customWidth="1" style="4" min="15" max="15"/>
    <ns0:col width="20" customWidth="1" style="4" min="16" max="16"/>
  </ns0:cols>
  <ns0:sheetData>
    <ns0:row r="1" ht="30" customHeight="1" s="4">
      <ns0:c r="A1" s="15" t="inlineStr">
        <ns0:is>
          <ns0:t>COMBAT DEMO | Two Balanced Dummies</ns0:t>
        </ns0:is>
      </ns0:c>
    </ns0:row>
    <ns0:row r="2" ht="28" customHeight="1" s="4">
      <ns0:c r="A2" s="16" t="inlineStr">
        <ns0:is>
          <ns0:t>Fixed scenario: normal attacks only, guaranteed hits, no criticals or additional hits, and no skills, defending, position swaps or triggered effects.</ns0:t>
        </ns0:is>
      </ns0:c>
    </ns0:row>
    <ns0:row r="3" ht="28" customHeight="1" s="4">
      <ns0:c r="A3" s="16" t="inlineStr">
        <ns0:is>
          <ns0:t>Each dummy is its team's main. Team turns alternate. Recover AP before assigning slots; a team with no eligible character passes. Battle ends immediately when a main reaches 0 HP.</ns0:t>
        </ns0:is>
      </ns0:c>
    </ns0:row>
    <ns0:row r="4" ht="28" customHeight="1" s="4">
      <ns0:c r="A4" s="16" t="inlineStr">
        <ns0:is>
          <ns0:t>Starting AP = 0 is a provisional test assumption. Choose A or B to resolve an initiative tie. This is a deterministic test, not the final random tie-break implementation.</ns0:t>
        </ns0:is>
      </ns0:c>
    </ns0:row>
    <ns0:row r="5" ht="28" customHeight="1" s="4">
      <ns0:c r="A5" s="16" t="inlineStr">
        <ns0:is>
          <ns0:t>Blue input cells may be edited. Linked inputs initially follow Balanced dummy. This sheet assumes no extra modifiers; final values below apply SE. Percentage combat stats are fixed by the scenario above.</ns0:t>
        </ns0:is>
      </ns0:c>
    </ns0:row>
    <ns0:row r="10">
      <ns0:c r="A10" s="17" t="inlineStr">
        <ns0:is>
          <ns0:t>Parameter</ns0:t>
        </ns0:is>
      </ns0:c>
      <ns0:c r="B10" s="17" t="inlineStr">
        <ns0:is>
          <ns0:t>Dummy A</ns0:t>
        </ns0:is>
      </ns0:c>
      <ns0:c r="C10" s="17" t="inlineStr">
        <ns0:is>
          <ns0:t>Dummy B</ns0:t>
        </ns0:is>
      </ns0:c>
      <ns0:c r="D10" s="17" t="inlineStr">
        <ns0:is>
          <ns0:t>Notes</ns0:t>
        </ns0:is>
      </ns0:c>
    </ns0:row>
    <ns0:row r="11" ht="27" customHeight="1" s="4">
      <ns0:c r="A11" t="inlineStr">
        <ns0:is>
          <ns0:t>Base HP</ns0:t>
        </ns0:is>
      </ns0:c>
      <ns0:c r="B11" s="18" t="n">
        <ns0:f>'Balanced dummy'!B3</ns0:f>
        <ns0:v>20000</ns0:v>
      </ns0:c>
      <ns0:c r="C11" s="18" t="n">
        <ns0:f>'Balanced dummy'!B3</ns0:f>
        <ns0:v>20000</ns0:v>
      </ns0:c>
      <ns0:c r="D11" s="19" t="inlineStr">
        <ns0:is>
          <ns0:t>No equipment or additional stat modifiers in this test.</ns0:t>
        </ns0:is>
      </ns0:c>
    </ns0:row>
    <ns0:row r="12" ht="27" customHeight="1" s="4">
      <ns0:c r="A12" t="inlineStr">
        <ns0:is>
          <ns0:t>Base Attack</ns0:t>
        </ns0:is>
      </ns0:c>
      <ns0:c r="B12" s="18" t="n">
        <ns0:f>'Balanced dummy'!B5</ns0:f>
        <ns0:v>2000</ns0:v>
      </ns0:c>
      <ns0:c r="C12" s="18" t="n">
        <ns0:f>'Balanced dummy'!B5</ns0:f>
        <ns0:v>2000</ns0:v>
      </ns0:c>
      <ns0:c r="D12" s="19" t="inlineStr">
        <ns0:is>
          <ns0:t>Normal attack offensive power.</ns0:t>
        </ns0:is>
      </ns0:c>
    </ns0:row>
    <ns0:row r="13" ht="27" customHeight="1" s="4">
      <ns0:c r="A13" t="inlineStr">
        <ns0:is>
          <ns0:t>Base Defense</ns0:t>
        </ns0:is>
      </ns0:c>
      <ns0:c r="B13" s="18" t="n">
        <ns0:f>'Balanced dummy'!B6</ns0:f>
        <ns0:v>1000</ns0:v>
      </ns0:c>
      <ns0:c r="C13" s="18" t="n">
        <ns0:f>'Balanced dummy'!B6</ns0:f>
        <ns0:v>1000</ns0:v>
      </ns0:c>
      <ns0:c r="D13" s="19" t="inlineStr">
        <ns0:is>
          <ns0:t>Normal attack defensive power.</ns0:t>
        </ns0:is>
      </ns0:c>
    </ns0:row>
    <ns0:row r="14" ht="27" customHeight="1" s="4">
      <ns0:c r="A14" t="inlineStr">
        <ns0:is>
          <ns0:t>Base AP Recovery</ns0:t>
        </ns0:is>
      </ns0:c>
      <ns0:c r="B14" s="18" t="n">
        <ns0:f>'Balanced dummy'!B9</ns0:f>
        <ns0:v>100</ns0:v>
      </ns0:c>
      <ns0:c r="C14" s="18" t="n">
        <ns0:f>'Balanced dummy'!B9</ns0:f>
        <ns0:v>100</ns0:v>
      </ns0:c>
      <ns0:c r="D14" s="19" t="inlineStr">
        <ns0:is>
          <ns0:t>Recovered only at the beginning of the acting team's turn.</ns0:t>
        </ns0:is>
      </ns0:c>
    </ns0:row>
    <ns0:row r="15" ht="27" customHeight="1" s="4">
      <ns0:c r="A15" t="inlineStr">
        <ns0:is>
          <ns0:t>Starting AP</ns0:t>
        </ns0:is>
      </ns0:c>
      <ns0:c r="B15" s="18" t="n">
        <ns0:v>0</ns0:v>
      </ns0:c>
      <ns0:c r="C15" s="18" t="n">
        <ns0:v>0</ns0:v>
      </ns0:c>
      <ns0:c r="D15" s="19" t="inlineStr">
        <ns0:is>
          <ns0:t>Provisional assumption; used to select initiative before the first recovery.</ns0:t>
        </ns0:is>
      </ns0:c>
    </ns0:row>
    <ns0:row r="16" ht="27" customHeight="1" s="4">
      <ns0:c r="A16" t="inlineStr">
        <ns0:is>
          <ns0:t>Normal Attack AP Cost</ns0:t>
        </ns0:is>
      </ns0:c>
      <ns0:c r="B16" s="18" t="n">
        <ns0:v>100</ns0:v>
      </ns0:c>
      <ns0:c r="C16" s="18" t="n">
        <ns0:v>100</ns0:v>
      </ns0:c>
      <ns0:c r="D16" s="19" t="inlineStr">
        <ns0:is>
          <ns0:t>One normal attack ends its action slot.</ns0:t>
        </ns0:is>
      </ns0:c>
    </ns0:row>
    <ns0:row r="17" ht="27" customHeight="1" s="4">
      <ns0:c r="A17" t="inlineStr">
        <ns0:is>
          <ns0:t>Slot AP Requirement</ns0:t>
        </ns0:is>
      </ns0:c>
      <ns0:c r="B17" s="18" t="n">
        <ns0:v>100</ns0:v>
      </ns0:c>
      <ns0:c r="C17" s="18" t="n">
        <ns0:v>100</ns0:v>
      </ns0:c>
      <ns0:c r="D17" s="19" t="inlineStr">
        <ns0:is>
          <ns0:t>Checked after recovery when initial slots are assigned.</ns0:t>
        </ns0:is>
      </ns0:c>
    </ns0:row>
    <ns0:row r="18" ht="27" customHeight="1" s="4">
      <ns0:c r="A18" t="inlineStr">
        <ns0:is>
          <ns0:t>K</ns0:t>
        </ns0:is>
      </ns0:c>
      <ns0:c r="B18" s="18" t="n">
        <ns0:f>'Balanced dummy'!C5</ns0:f>
        <ns0:v>1000</ns0:v>
      </ns0:c>
      <ns0:c r="C18" s="18" t="n">
        <ns0:f>'Balanced dummy'!C5</ns0:f>
        <ns0:v>1000</ns0:v>
      </ns0:c>
      <ns0:c r="D18" s="19" t="inlineStr">
        <ns0:is>
          <ns0:t>Positive power constant; both teams must use the same K.</ns0:t>
        </ns0:is>
      </ns0:c>
    </ns0:row>
    <ns0:row r="19" ht="27" customHeight="1" s="4">
      <ns0:c r="A19" t="inlineStr">
        <ns0:is>
          <ns0:t>Stat Effectiveness</ns0:t>
        </ns0:is>
      </ns0:c>
      <ns0:c r="B19" s="20" t="n">
        <ns0:f>1+'Balanced dummy'!B17</ns0:f>
        <ns0:v>1</ns0:v>
      </ns0:c>
      <ns0:c r="C19" s="20" t="n">
        <ns0:f>1+'Balanced dummy'!B17</ns0:f>
        <ns0:v>1</ns0:v>
      </ns0:c>
      <ns0:c r="D19" s="19" t="inlineStr">
        <ns0:is>
          <ns0:t>Actual multiplier: 100% baseline plus SE Above 100% from Balanced dummy.</ns0:t>
        </ns0:is>
      </ns0:c>
    </ns0:row>
    <ns0:row r="21" ht="27" customHeight="1" s="4">
      <ns0:c r="A21" t="inlineStr">
        <ns0:is>
          <ns0:t>Final Max HP</ns0:t>
        </ns0:is>
      </ns0:c>
      <ns0:c r="B21" s="21" t="n">
        <ns0:f>B11*B19</ns0:f>
        <ns0:v>20000</ns0:v>
      </ns0:c>
      <ns0:c r="C21" s="21" t="n">
        <ns0:f>C11*C19</ns0:f>
        <ns0:v>20000</ns0:v>
      </ns0:c>
      <ns0:c r="D21" s="19" t="inlineStr">
        <ns0:is>
          <ns0:t>Current HP starts at this value.</ns0:t>
        </ns0:is>
      </ns0:c>
    </ns0:row>
    <ns0:row r="22" ht="27" customHeight="1" s="4">
      <ns0:c r="A22" t="inlineStr">
        <ns0:is>
          <ns0:t>Final Attack</ns0:t>
        </ns0:is>
      </ns0:c>
      <ns0:c r="B22" s="21" t="n">
        <ns0:f>B12*B19</ns0:f>
        <ns0:v>2000</ns0:v>
      </ns0:c>
      <ns0:c r="C22" s="21" t="n">
        <ns0:f>C12*C19</ns0:f>
        <ns0:v>2000</ns0:v>
      </ns0:c>
      <ns0:c r="D22" s="19" t="inlineStr">
        <ns0:is>
          <ns0:t>Total Attack × SE; totals equal base values in this scenario.</ns0:t>
        </ns0:is>
      </ns0:c>
    </ns0:row>
    <ns0:row r="23" ht="27" customHeight="1" s="4">
      <ns0:c r="A23" t="inlineStr">
        <ns0:is>
          <ns0:t>Final Defense</ns0:t>
        </ns0:is>
      </ns0:c>
      <ns0:c r="B23" s="21" t="n">
        <ns0:f>B13*B19</ns0:f>
        <ns0:v>1000</ns0:v>
      </ns0:c>
      <ns0:c r="C23" s="21" t="n">
        <ns0:f>C13*C19</ns0:f>
        <ns0:v>1000</ns0:v>
      </ns0:c>
      <ns0:c r="D23" s="19" t="inlineStr">
        <ns0:is>
          <ns0:t>Total Defense × SE.</ns0:t>
        </ns0:is>
      </ns0:c>
    </ns0:row>
    <ns0:row r="24" ht="27" customHeight="1" s="4">
      <ns0:c r="A24" t="inlineStr">
        <ns0:is>
          <ns0:t>Final AP Recovery</ns0:t>
        </ns0:is>
      </ns0:c>
      <ns0:c r="B24" s="21" t="n">
        <ns0:f>B14*B19</ns0:f>
        <ns0:v>100</ns0:v>
      </ns0:c>
      <ns0:c r="C24" s="21" t="n">
        <ns0:f>C14*C19</ns0:f>
        <ns0:v>100</ns0:v>
      </ns0:c>
      <ns0:c r="D24" s="19" t="inlineStr">
        <ns0:is>
          <ns0:t>Total AP Recovery × SE.</ns0:t>
        </ns0:is>
      </ns0:c>
    </ns0:row>
    <ns0:row r="25" ht="27" customHeight="1" s="4">
      <ns0:c r="A25" t="inlineStr">
        <ns0:is>
          <ns0:t>Mitigation</ns0:t>
        </ns0:is>
      </ns0:c>
      <ns0:c r="B25" s="22" t="n">
        <ns0:f>B23/(B23+B18)</ns0:f>
        <ns0:v>0.5</ns0:v>
      </ns0:c>
      <ns0:c r="C25" s="22" t="n">
        <ns0:f>C23/(C23+C18)</ns0:f>
        <ns0:v>0.5</ns0:v>
      </ns0:c>
      <ns0:c r="D25" s="19" t="inlineStr">
        <ns0:is>
          <ns0:t>Defense / (Defense + K).</ns0:t>
        </ns0:is>
      </ns0:c>
    </ns0:row>
    <ns0:row r="26" ht="27" customHeight="1" s="4">
      <ns0:c r="A26" t="inlineStr">
        <ns0:is>
          <ns0:t>Damage Per Landed Hit</ns0:t>
        </ns0:is>
      </ns0:c>
      <ns0:c r="B26" s="21" t="n">
        <ns0:f>B22*(1-C25)</ns0:f>
        <ns0:v>1000</ns0:v>
      </ns0:c>
      <ns0:c r="C26" s="21" t="n">
        <ns0:f>C22*(1-B25)</ns0:f>
        <ns0:v>1000</ns0:v>
      </ns0:c>
      <ns0:c r="D26" s="19" t="inlineStr">
        <ns0:is>
          <ns0:t>Attacker Final Attack × (1 − target Mitigation). No rounding before HP is updated.</ns0:t>
        </ns0:is>
      </ns0:c>
    </ns0:row>
    <ns0:row r="27" ht="27" customHeight="1" s="4">
      <ns0:c r="A27" t="inlineStr">
        <ns0:is>
          <ns0:t>Hits To Defeat Opponent</ns0:t>
        </ns0:is>
      </ns0:c>
      <ns0:c r="B27" s="21" t="n">
        <ns0:f>IF(B26&gt;0,ROUNDUP(C21/B26,0),"Cannot defeat")</ns0:f>
        <ns0:v>20</ns0:v>
      </ns0:c>
      <ns0:c r="C27" s="21" t="n">
        <ns0:f>IF(C26&gt;0,ROUNDUP(B21/C26,0),"Cannot defeat")</ns0:f>
        <ns0:v>20</ns0:v>
      </ns0:c>
      <ns0:c r="D27" s="19" t="inlineStr">
        <ns0:is>
          <ns0:t>Successful normal hits needed, independent of AP waiting turns.</ns0:t>
        </ns0:is>
      </ns0:c>
    </ns0:row>
    <ns0:row r="29">
      <ns0:c r="A29" t="inlineStr">
        <ns0:is>
          <ns0:t>Initiative Tie Winner</ns0:t>
        </ns0:is>
      </ns0:c>
      <ns0:c r="B29" s="23" t="inlineStr">
        <ns0:is>
          <ns0:t>A</ns0:t>
        </ns0:is>
      </ns0:c>
      <ns0:c r="D29" t="inlineStr">
        <ns0:is>
          <ns0:t>Used only when both Starting AP values are equal.</ns0:t>
        </ns0:is>
      </ns0:c>
    </ns0:row>
    <ns0:row r="30">
      <ns0:c r="A30" t="inlineStr">
        <ns0:is>
          <ns0:t>Starting Team</ns0:t>
        </ns0:is>
      </ns0:c>
      <ns0:c r="B30" t="str">
        <ns0:f>IF(B15&gt;C15,"A",IF(B15&lt;C15,"B",B29))</ns0:f>
        <ns0:v>A</ns0:v>
      </ns0:c>
    </ns0:row>
    <ns0:row r="31">
      <ns0:c r="A31" t="inlineStr">
        <ns0:is>
          <ns0:t>Maximum Logged Turns</ns0:t>
        </ns0:is>
      </ns0:c>
      <ns0:c r="B31" t="n">
        <ns0:v>100</ns0:v>
      </ns0:c>
      <ns0:c r="D31" t="inlineStr">
        <ns0:is>
          <ns0:t>The fixed log stops after victory or 100 global team turns. A limit result is not a draw rule.</ns0:t>
        </ns0:is>
      </ns0:c>
    </ns0:row>
    <ns0:row r="33" ht="30" customHeight="1" s="4">
      <ns0:c r="A33" s="24" t="inlineStr">
        <ns0:is>
          <ns0:t>RESULTS</ns0:t>
        </ns0:is>
      </ns0:c>
    </ns0:row>
    <ns0:row r="34" ht="30" customHeight="1" s="4">
      <ns0:c r="A34" t="inlineStr">
        <ns0:is>
          <ns0:t>Winner</ns0:t>
        </ns0:is>
      </ns0:c>
      <ns0:c r="B34" s="25" t="str">
        <ns0:f>IF(COUNTIF(P41:P140,"A Wins")&gt;0,"A",IF(COUNTIF(P41:P140,"B Wins")&gt;0,"B","No winner within log"))</ns0:f>
        <ns0:v>A</ns0:v>
      </ns0:c>
      <ns0:c r="D34" s="19" t="inlineStr">
        <ns0:is>
          <ns0:t>Default benchmark: Team A wins on global turn 39, landing its 20th hit; Team B lands 19 hits.</ns0:t>
        </ns0:is>
      </ns0:c>
    </ns0:row>
    <ns0:row r="35" ht="30" customHeight="1" s="4">
      <ns0:c r="A35" t="inlineStr">
        <ns0:is>
          <ns0:t>Global Turns Executed</ns0:t>
        </ns0:is>
      </ns0:c>
      <ns0:c r="B35" s="25" t="n">
        <ns0:f>COUNT(A41:A140)</ns0:f>
        <ns0:v>39</ns0:v>
      </ns0:c>
      <ns0:c r="D35" s="19" t="inlineStr">
        <ns0:is>
          <ns0:t>20 hits refers to the winner's own attacks, not 20 alternating global team turns.</ns0:t>
        </ns0:is>
      </ns0:c>
    </ns0:row>
    <ns0:row r="36" ht="30" customHeight="1" s="4">
      <ns0:c r="A36" t="inlineStr">
        <ns0:is>
          <ns0:t>Successful Hits By A</ns0:t>
        </ns0:is>
      </ns0:c>
      <ns0:c r="B36" s="25" t="n">
        <ns0:f>MAX(N41:N140)</ns0:f>
        <ns0:v>20</ns0:v>
      </ns0:c>
      <ns0:c r="D36" s="19" t="inlineStr">
        <ns0:is>
          <ns0:t>The opening limits are 2–2–4–4–5–5…; with one character, at most one initial slot is actually assigned.</ns0:t>
        </ns0:is>
      </ns0:c>
    </ns0:row>
    <ns0:row r="37" ht="30" customHeight="1" s="4">
      <ns0:c r="A37" t="inlineStr">
        <ns0:is>
          <ns0:t>Successful Hits By B</ns0:t>
        </ns0:is>
      </ns0:c>
      <ns0:c r="B37" s="25" t="n">
        <ns0:f>MAX(O41:O140)</ns0:f>
        <ns0:v>19</ns0:v>
      </ns0:c>
      <ns0:c r="D37" s="19" t="inlineStr">
        <ns0:is>
          <ns0:t>No second attack is granted solely for having extra AP. Slot transfers require additional characters.</ns0:t>
        </ns0:is>
      </ns0:c>
    </ns0:row>
    <ns0:row r="40" ht="44" customHeight="1" s="4">
      <ns0:c r="A40" s="26" t="inlineStr">
        <ns0:is>
          <ns0:t>Global Turn</ns0:t>
        </ns0:is>
      </ns0:c>
      <ns0:c r="B40" s="26" t="inlineStr">
        <ns0:is>
          <ns0:t>Acting Team</ns0:t>
        </ns0:is>
      </ns0:c>
      <ns0:c r="C40" s="26" t="inlineStr">
        <ns0:is>
          <ns0:t>Slot Limit</ns0:t>
        </ns0:is>
      </ns0:c>
      <ns0:c r="D40" s="26" t="inlineStr">
        <ns0:is>
          <ns0:t>AP Before Recovery</ns0:t>
        </ns0:is>
      </ns0:c>
      <ns0:c r="E40" s="26" t="inlineStr">
        <ns0:is>
          <ns0:t>AP Recovered</ns0:t>
        </ns0:is>
      </ns0:c>
      <ns0:c r="F40" s="26" t="inlineStr">
        <ns0:is>
          <ns0:t>Slots Assigned</ns0:t>
        </ns0:is>
      </ns0:c>
      <ns0:c r="G40" s="26" t="inlineStr">
        <ns0:is>
          <ns0:t>Action</ns0:t>
        </ns0:is>
      </ns0:c>
      <ns0:c r="H40" s="26" t="inlineStr">
        <ns0:is>
          <ns0:t>AP Spent</ns0:t>
        </ns0:is>
      </ns0:c>
      <ns0:c r="I40" s="26" t="inlineStr">
        <ns0:is>
          <ns0:t>A AP After</ns0:t>
        </ns0:is>
      </ns0:c>
      <ns0:c r="J40" s="26" t="inlineStr">
        <ns0:is>
          <ns0:t>B AP After</ns0:t>
        </ns0:is>
      </ns0:c>
      <ns0:c r="K40" s="26" t="inlineStr">
        <ns0:is>
          <ns0:t>Damage Applied</ns0:t>
        </ns0:is>
      </ns0:c>
      <ns0:c r="L40" s="26" t="inlineStr">
        <ns0:is>
          <ns0:t>A HP Remaining</ns0:t>
        </ns0:is>
      </ns0:c>
      <ns0:c r="M40" s="26" t="inlineStr">
        <ns0:is>
          <ns0:t>B HP Remaining</ns0:t>
        </ns0:is>
      </ns0:c>
      <ns0:c r="N40" s="26" t="inlineStr">
        <ns0:is>
          <ns0:t>A Hit Count</ns0:t>
        </ns0:is>
      </ns0:c>
      <ns0:c r="O40" s="26" t="inlineStr">
        <ns0:is>
          <ns0:t>B Hit Count</ns0:t>
        </ns0:is>
      </ns0:c>
      <ns0:c r="P40" s="26" t="inlineStr">
        <ns0:is>
          <ns0:t>Result</ns0:t>
        </ns0:is>
      </ns0:c>
    </ns0:row>
    <ns0:row r="41" ht="24" customHeight="1" s="4">
      <ns0:c r="A41" s="27" t="n">
        <ns0:f>1</ns0:f>
        <ns0:v>1</ns0:v>
      </ns0:c>
      <ns0:c r="B41" s="28" t="str">
        <ns0:f>IF(A41="","",IF(MOD(A41,2)=1,$B$30,IF($B$30="A","B","A")))</ns0:f>
        <ns0:v>A</ns0:v>
      </ns0:c>
      <ns0:c r="C41" s="27" t="n">
        <ns0:f>IF(A41="","",IF(A41&lt;=2,2,IF(A41&lt;=4,4,5)))</ns0:f>
        <ns0:v>2</ns0:v>
      </ns0:c>
      <ns0:c r="D41" s="27" t="n">
        <ns0:f>IF(A41="","",IF(B41="A",$B$15,$C$15))</ns0:f>
        <ns0:v>0</ns0:v>
      </ns0:c>
      <ns0:c r="E41" s="27" t="n">
        <ns0:f>IF(A41="","",IF(B41="A",$B$24,$C$24))</ns0:f>
        <ns0:v>100</ns0:v>
      </ns0:c>
      <ns0:c r="F41" s="27" t="n">
        <ns0:f>IF(A41="","",IF(D41+E41&gt;=IF(B41="A",$B$17,$C$17),MIN(1,C41),0))</ns0:f>
        <ns0:v>1</ns0:v>
      </ns0:c>
      <ns0:c r="G41" s="28" t="str">
        <ns0:f>IF(A41="","",IF(F41=1,"Normal Attack","Pass: insufficient AP"))</ns0:f>
        <ns0:v>Normal Attack</ns0:v>
      </ns0:c>
      <ns0:c r="H41" s="27" t="n">
        <ns0:f>IF(A41="","",IF(F41=1,IF(B41="A",$B$16,$C$16),0))</ns0:f>
        <ns0:v>100</ns0:v>
      </ns0:c>
      <ns0:c r="I41" s="27" t="n">
        <ns0:f>IF(A41="","",$B$15+IF(B41="A",E41-H41,0))</ns0:f>
        <ns0:v>0</ns0:v>
      </ns0:c>
      <ns0:c r="J41" s="27" t="n">
        <ns0:f>IF(A41="","",$C$15+IF(B41="B",E41-H41,0))</ns0:f>
        <ns0:v>0</ns0:v>
      </ns0:c>
      <ns0:c r="K41" s="27" t="n">
        <ns0:f>IF(A41="","",IF(F41=1,IF(B41="A",MIN($B$26,$C$21),MIN($C$26,$B$21)),0))</ns0:f>
        <ns0:v>1000</ns0:v>
      </ns0:c>
      <ns0:c r="L41" s="27" t="n">
        <ns0:f>IF(A41="","",MAX(0,$B$21-IF(B41="B",K41,0)))</ns0:f>
        <ns0:v>20000</ns0:v>
      </ns0:c>
      <ns0:c r="M41" s="27" t="n">
        <ns0:f>IF(A41="","",MAX(0,$C$21-IF(B41="A",K41,0)))</ns0:f>
        <ns0:v>19000</ns0:v>
      </ns0:c>
      <ns0:c r="N41" s="27" t="n">
        <ns0:f>IF(A41="","",0+IF(AND(B41="A",F41=1),1,0))</ns0:f>
        <ns0:v>1</ns0:v>
      </ns0:c>
      <ns0:c r="O41" s="27" t="n">
        <ns0:f>IF(A41="","",0+IF(AND(B41="B",F41=1),1,0))</ns0:f>
        <ns0:v>0</ns0:v>
      </ns0:c>
      <ns0:c r="P41" s="28" t="str">
        <ns0:f>IF(A41="","",IF(L41&lt;=0,"B Wins",IF(M41&lt;=0,"A Wins","Ongoing")))</ns0:f>
        <ns0:v>Ongoing</ns0:v>
      </ns0:c>
    </ns0:row>
    <ns0:row r="42" ht="24" customHeight="1" s="4">
      <ns0:c r="A42" s="29" t="n">
        <ns0:f>IF(P41="Ongoing",A41+1,"")</ns0:f>
        <ns0:v>2</ns0:v>
      </ns0:c>
      <ns0:c r="B42" s="30" t="str">
        <ns0:f>IF(A42="","",IF(MOD(A42,2)=1,$B$30,IF($B$30="A","B","A")))</ns0:f>
        <ns0:v>B</ns0:v>
      </ns0:c>
      <ns0:c r="C42" s="29" t="n">
        <ns0:f>IF(A42="","",IF(A42&lt;=2,2,IF(A42&lt;=4,4,5)))</ns0:f>
        <ns0:v>2</ns0:v>
      </ns0:c>
      <ns0:c r="D42" s="29" t="n">
        <ns0:f>IF(A42="","",IF(B42="A",I41,J41))</ns0:f>
        <ns0:v>0</ns0:v>
      </ns0:c>
      <ns0:c r="E42" s="29" t="n">
        <ns0:f>IF(A42="","",IF(B42="A",$B$24,$C$24))</ns0:f>
        <ns0:v>100</ns0:v>
      </ns0:c>
      <ns0:c r="F42" s="29" t="n">
        <ns0:f>IF(A42="","",IF(D42+E42&gt;=IF(B42="A",$B$17,$C$17),MIN(1,C42),0))</ns0:f>
        <ns0:v>1</ns0:v>
      </ns0:c>
      <ns0:c r="G42" s="30" t="str">
        <ns0:f>IF(A42="","",IF(F42=1,"Normal Attack","Pass: insufficient AP"))</ns0:f>
        <ns0:v>Normal Attack</ns0:v>
      </ns0:c>
      <ns0:c r="H42" s="29" t="n">
        <ns0:f>IF(A42="","",IF(F42=1,IF(B42="A",$B$16,$C$16),0))</ns0:f>
        <ns0:v>100</ns0:v>
      </ns0:c>
      <ns0:c r="I42" s="29" t="n">
        <ns0:f>IF(A42="","",I41+IF(B42="A",E42-H42,0))</ns0:f>
        <ns0:v>0</ns0:v>
      </ns0:c>
      <ns0:c r="J42" s="29" t="n">
        <ns0:f>IF(A42="","",J41+IF(B42="B",E42-H42,0))</ns0:f>
        <ns0:v>0</ns0:v>
      </ns0:c>
      <ns0:c r="K42" s="29" t="n">
        <ns0:f>IF(A42="","",IF(F42=1,IF(B42="A",MIN($B$26,M41),MIN($C$26,L41)),0))</ns0:f>
        <ns0:v>1000</ns0:v>
      </ns0:c>
      <ns0:c r="L42" s="29" t="n">
        <ns0:f>IF(A42="","",MAX(0,L41-IF(B42="B",K42,0)))</ns0:f>
        <ns0:v>19000</ns0:v>
      </ns0:c>
      <ns0:c r="M42" s="29" t="n">
        <ns0:f>IF(A42="","",MAX(0,M41-IF(B42="A",K42,0)))</ns0:f>
        <ns0:v>19000</ns0:v>
      </ns0:c>
      <ns0:c r="N42" s="29" t="n">
        <ns0:f>IF(A42="","",N41+IF(AND(B42="A",F42=1),1,0))</ns0:f>
        <ns0:v>1</ns0:v>
      </ns0:c>
      <ns0:c r="O42" s="29" t="n">
        <ns0:f>IF(A42="","",O41+IF(AND(B42="B",F42=1),1,0))</ns0:f>
        <ns0:v>1</ns0:v>
      </ns0:c>
      <ns0:c r="P42" s="30" t="str">
        <ns0:f>IF(A42="","",IF(L42&lt;=0,"B Wins",IF(M42&lt;=0,"A Wins","Ongoing")))</ns0:f>
        <ns0:v>Ongoing</ns0:v>
      </ns0:c>
    </ns0:row>
    <ns0:row r="43" ht="24" customHeight="1" s="4">
      <ns0:c r="A43" s="27" t="n">
        <ns0:f>IF(P42="Ongoing",A42+1,"")</ns0:f>
        <ns0:v>3</ns0:v>
      </ns0:c>
      <ns0:c r="B43" s="28" t="str">
        <ns0:f>IF(A43="","",IF(MOD(A43,2)=1,$B$30,IF($B$30="A","B","A")))</ns0:f>
        <ns0:v>A</ns0:v>
      </ns0:c>
      <ns0:c r="C43" s="27" t="n">
        <ns0:f>IF(A43="","",IF(A43&lt;=2,2,IF(A43&lt;=4,4,5)))</ns0:f>
        <ns0:v>4</ns0:v>
      </ns0:c>
      <ns0:c r="D43" s="27" t="n">
        <ns0:f>IF(A43="","",IF(B43="A",I42,J42))</ns0:f>
        <ns0:v>0</ns0:v>
      </ns0:c>
      <ns0:c r="E43" s="27" t="n">
        <ns0:f>IF(A43="","",IF(B43="A",$B$24,$C$24))</ns0:f>
        <ns0:v>100</ns0:v>
      </ns0:c>
      <ns0:c r="F43" s="27" t="n">
        <ns0:f>IF(A43="","",IF(D43+E43&gt;=IF(B43="A",$B$17,$C$17),MIN(1,C43),0))</ns0:f>
        <ns0:v>1</ns0:v>
      </ns0:c>
      <ns0:c r="G43" s="28" t="str">
        <ns0:f>IF(A43="","",IF(F43=1,"Normal Attack","Pass: insufficient AP"))</ns0:f>
        <ns0:v>Normal Attack</ns0:v>
      </ns0:c>
      <ns0:c r="H43" s="27" t="n">
        <ns0:f>IF(A43="","",IF(F43=1,IF(B43="A",$B$16,$C$16),0))</ns0:f>
        <ns0:v>100</ns0:v>
      </ns0:c>
      <ns0:c r="I43" s="27" t="n">
        <ns0:f>IF(A43="","",I42+IF(B43="A",E43-H43,0))</ns0:f>
        <ns0:v>0</ns0:v>
      </ns0:c>
      <ns0:c r="J43" s="27" t="n">
        <ns0:f>IF(A43="","",J42+IF(B43="B",E43-H43,0))</ns0:f>
        <ns0:v>0</ns0:v>
      </ns0:c>
      <ns0:c r="K43" s="27" t="n">
        <ns0:f>IF(A43="","",IF(F43=1,IF(B43="A",MIN($B$26,M42),MIN($C$26,L42)),0))</ns0:f>
        <ns0:v>1000</ns0:v>
      </ns0:c>
      <ns0:c r="L43" s="27" t="n">
        <ns0:f>IF(A43="","",MAX(0,L42-IF(B43="B",K43,0)))</ns0:f>
        <ns0:v>19000</ns0:v>
      </ns0:c>
      <ns0:c r="M43" s="27" t="n">
        <ns0:f>IF(A43="","",MAX(0,M42-IF(B43="A",K43,0)))</ns0:f>
        <ns0:v>18000</ns0:v>
      </ns0:c>
      <ns0:c r="N43" s="27" t="n">
        <ns0:f>IF(A43="","",N42+IF(AND(B43="A",F43=1),1,0))</ns0:f>
        <ns0:v>2</ns0:v>
      </ns0:c>
      <ns0:c r="O43" s="27" t="n">
        <ns0:f>IF(A43="","",O42+IF(AND(B43="B",F43=1),1,0))</ns0:f>
        <ns0:v>1</ns0:v>
      </ns0:c>
      <ns0:c r="P43" s="28" t="str">
        <ns0:f>IF(A43="","",IF(L43&lt;=0,"B Wins",IF(M43&lt;=0,"A Wins","Ongoing")))</ns0:f>
        <ns0:v>Ongoing</ns0:v>
      </ns0:c>
    </ns0:row>
    <ns0:row r="44" ht="24" customHeight="1" s="4">
      <ns0:c r="A44" s="29" t="n">
        <ns0:f>IF(P43="Ongoing",A43+1,"")</ns0:f>
        <ns0:v>4</ns0:v>
      </ns0:c>
      <ns0:c r="B44" s="30" t="str">
        <ns0:f>IF(A44="","",IF(MOD(A44,2)=1,$B$30,IF($B$30="A","B","A")))</ns0:f>
        <ns0:v>B</ns0:v>
      </ns0:c>
      <ns0:c r="C44" s="29" t="n">
        <ns0:f>IF(A44="","",IF(A44&lt;=2,2,IF(A44&lt;=4,4,5)))</ns0:f>
        <ns0:v>4</ns0:v>
      </ns0:c>
      <ns0:c r="D44" s="29" t="n">
        <ns0:f>IF(A44="","",IF(B44="A",I43,J43))</ns0:f>
        <ns0:v>0</ns0:v>
      </ns0:c>
      <ns0:c r="E44" s="29" t="n">
        <ns0:f>IF(A44="","",IF(B44="A",$B$24,$C$24))</ns0:f>
        <ns0:v>100</ns0:v>
      </ns0:c>
      <ns0:c r="F44" s="29" t="n">
        <ns0:f>IF(A44="","",IF(D44+E44&gt;=IF(B44="A",$B$17,$C$17),MIN(1,C44),0))</ns0:f>
        <ns0:v>1</ns0:v>
      </ns0:c>
      <ns0:c r="G44" s="30" t="str">
        <ns0:f>IF(A44="","",IF(F44=1,"Normal Attack","Pass: insufficient AP"))</ns0:f>
        <ns0:v>Normal Attack</ns0:v>
      </ns0:c>
      <ns0:c r="H44" s="29" t="n">
        <ns0:f>IF(A44="","",IF(F44=1,IF(B44="A",$B$16,$C$16),0))</ns0:f>
        <ns0:v>100</ns0:v>
      </ns0:c>
      <ns0:c r="I44" s="29" t="n">
        <ns0:f>IF(A44="","",I43+IF(B44="A",E44-H44,0))</ns0:f>
        <ns0:v>0</ns0:v>
      </ns0:c>
      <ns0:c r="J44" s="29" t="n">
        <ns0:f>IF(A44="","",J43+IF(B44="B",E44-H44,0))</ns0:f>
        <ns0:v>0</ns0:v>
      </ns0:c>
      <ns0:c r="K44" s="29" t="n">
        <ns0:f>IF(A44="","",IF(F44=1,IF(B44="A",MIN($B$26,M43),MIN($C$26,L43)),0))</ns0:f>
        <ns0:v>1000</ns0:v>
      </ns0:c>
      <ns0:c r="L44" s="29" t="n">
        <ns0:f>IF(A44="","",MAX(0,L43-IF(B44="B",K44,0)))</ns0:f>
        <ns0:v>18000</ns0:v>
      </ns0:c>
      <ns0:c r="M44" s="29" t="n">
        <ns0:f>IF(A44="","",MAX(0,M43-IF(B44="A",K44,0)))</ns0:f>
        <ns0:v>18000</ns0:v>
      </ns0:c>
      <ns0:c r="N44" s="29" t="n">
        <ns0:f>IF(A44="","",N43+IF(AND(B44="A",F44=1),1,0))</ns0:f>
        <ns0:v>2</ns0:v>
      </ns0:c>
      <ns0:c r="O44" s="29" t="n">
        <ns0:f>IF(A44="","",O43+IF(AND(B44="B",F44=1),1,0))</ns0:f>
        <ns0:v>2</ns0:v>
      </ns0:c>
      <ns0:c r="P44" s="30" t="str">
        <ns0:f>IF(A44="","",IF(L44&lt;=0,"B Wins",IF(M44&lt;=0,"A Wins","Ongoing")))</ns0:f>
        <ns0:v>Ongoing</ns0:v>
      </ns0:c>
    </ns0:row>
    <ns0:row r="45" ht="24" customHeight="1" s="4">
      <ns0:c r="A45" s="27" t="n">
        <ns0:f>IF(P44="Ongoing",A44+1,"")</ns0:f>
        <ns0:v>5</ns0:v>
      </ns0:c>
      <ns0:c r="B45" s="28" t="str">
        <ns0:f>IF(A45="","",IF(MOD(A45,2)=1,$B$30,IF($B$30="A","B","A")))</ns0:f>
        <ns0:v>A</ns0:v>
      </ns0:c>
      <ns0:c r="C45" s="27" t="n">
        <ns0:f>IF(A45="","",IF(A45&lt;=2,2,IF(A45&lt;=4,4,5)))</ns0:f>
        <ns0:v>5</ns0:v>
      </ns0:c>
      <ns0:c r="D45" s="27" t="n">
        <ns0:f>IF(A45="","",IF(B45="A",I44,J44))</ns0:f>
        <ns0:v>0</ns0:v>
      </ns0:c>
      <ns0:c r="E45" s="27" t="n">
        <ns0:f>IF(A45="","",IF(B45="A",$B$24,$C$24))</ns0:f>
        <ns0:v>100</ns0:v>
      </ns0:c>
      <ns0:c r="F45" s="27" t="n">
        <ns0:f>IF(A45="","",IF(D45+E45&gt;=IF(B45="A",$B$17,$C$17),MIN(1,C45),0))</ns0:f>
        <ns0:v>1</ns0:v>
      </ns0:c>
      <ns0:c r="G45" s="28" t="str">
        <ns0:f>IF(A45="","",IF(F45=1,"Normal Attack","Pass: insufficient AP"))</ns0:f>
        <ns0:v>Normal Attack</ns0:v>
      </ns0:c>
      <ns0:c r="H45" s="27" t="n">
        <ns0:f>IF(A45="","",IF(F45=1,IF(B45="A",$B$16,$C$16),0))</ns0:f>
        <ns0:v>100</ns0:v>
      </ns0:c>
      <ns0:c r="I45" s="27" t="n">
        <ns0:f>IF(A45="","",I44+IF(B45="A",E45-H45,0))</ns0:f>
        <ns0:v>0</ns0:v>
      </ns0:c>
      <ns0:c r="J45" s="27" t="n">
        <ns0:f>IF(A45="","",J44+IF(B45="B",E45-H45,0))</ns0:f>
        <ns0:v>0</ns0:v>
      </ns0:c>
      <ns0:c r="K45" s="27" t="n">
        <ns0:f>IF(A45="","",IF(F45=1,IF(B45="A",MIN($B$26,M44),MIN($C$26,L44)),0))</ns0:f>
        <ns0:v>1000</ns0:v>
      </ns0:c>
      <ns0:c r="L45" s="27" t="n">
        <ns0:f>IF(A45="","",MAX(0,L44-IF(B45="B",K45,0)))</ns0:f>
        <ns0:v>18000</ns0:v>
      </ns0:c>
      <ns0:c r="M45" s="27" t="n">
        <ns0:f>IF(A45="","",MAX(0,M44-IF(B45="A",K45,0)))</ns0:f>
        <ns0:v>17000</ns0:v>
      </ns0:c>
      <ns0:c r="N45" s="27" t="n">
        <ns0:f>IF(A45="","",N44+IF(AND(B45="A",F45=1),1,0))</ns0:f>
        <ns0:v>3</ns0:v>
      </ns0:c>
      <ns0:c r="O45" s="27" t="n">
        <ns0:f>IF(A45="","",O44+IF(AND(B45="B",F45=1),1,0))</ns0:f>
        <ns0:v>2</ns0:v>
      </ns0:c>
      <ns0:c r="P45" s="28" t="str">
        <ns0:f>IF(A45="","",IF(L45&lt;=0,"B Wins",IF(M45&lt;=0,"A Wins","Ongoing")))</ns0:f>
        <ns0:v>Ongoing</ns0:v>
      </ns0:c>
    </ns0:row>
    <ns0:row r="46" ht="24" customHeight="1" s="4">
      <ns0:c r="A46" s="29" t="n">
        <ns0:f>IF(P45="Ongoing",A45+1,"")</ns0:f>
        <ns0:v>6</ns0:v>
      </ns0:c>
      <ns0:c r="B46" s="30" t="str">
        <ns0:f>IF(A46="","",IF(MOD(A46,2)=1,$B$30,IF($B$30="A","B","A")))</ns0:f>
        <ns0:v>B</ns0:v>
      </ns0:c>
      <ns0:c r="C46" s="29" t="n">
        <ns0:f>IF(A46="","",IF(A46&lt;=2,2,IF(A46&lt;=4,4,5)))</ns0:f>
        <ns0:v>5</ns0:v>
      </ns0:c>
      <ns0:c r="D46" s="29" t="n">
        <ns0:f>IF(A46="","",IF(B46="A",I45,J45))</ns0:f>
        <ns0:v>0</ns0:v>
      </ns0:c>
      <ns0:c r="E46" s="29" t="n">
        <ns0:f>IF(A46="","",IF(B46="A",$B$24,$C$24))</ns0:f>
        <ns0:v>100</ns0:v>
      </ns0:c>
      <ns0:c r="F46" s="29" t="n">
        <ns0:f>IF(A46="","",IF(D46+E46&gt;=IF(B46="A",$B$17,$C$17),MIN(1,C46),0))</ns0:f>
        <ns0:v>1</ns0:v>
      </ns0:c>
      <ns0:c r="G46" s="30" t="str">
        <ns0:f>IF(A46="","",IF(F46=1,"Normal Attack","Pass: insufficient AP"))</ns0:f>
        <ns0:v>Normal Attack</ns0:v>
      </ns0:c>
      <ns0:c r="H46" s="29" t="n">
        <ns0:f>IF(A46="","",IF(F46=1,IF(B46="A",$B$16,$C$16),0))</ns0:f>
        <ns0:v>100</ns0:v>
      </ns0:c>
      <ns0:c r="I46" s="29" t="n">
        <ns0:f>IF(A46="","",I45+IF(B46="A",E46-H46,0))</ns0:f>
        <ns0:v>0</ns0:v>
      </ns0:c>
      <ns0:c r="J46" s="29" t="n">
        <ns0:f>IF(A46="","",J45+IF(B46="B",E46-H46,0))</ns0:f>
        <ns0:v>0</ns0:v>
      </ns0:c>
      <ns0:c r="K46" s="29" t="n">
        <ns0:f>IF(A46="","",IF(F46=1,IF(B46="A",MIN($B$26,M45),MIN($C$26,L45)),0))</ns0:f>
        <ns0:v>1000</ns0:v>
      </ns0:c>
      <ns0:c r="L46" s="29" t="n">
        <ns0:f>IF(A46="","",MAX(0,L45-IF(B46="B",K46,0)))</ns0:f>
        <ns0:v>17000</ns0:v>
      </ns0:c>
      <ns0:c r="M46" s="29" t="n">
        <ns0:f>IF(A46="","",MAX(0,M45-IF(B46="A",K46,0)))</ns0:f>
        <ns0:v>17000</ns0:v>
      </ns0:c>
      <ns0:c r="N46" s="29" t="n">
        <ns0:f>IF(A46="","",N45+IF(AND(B46="A",F46=1),1,0))</ns0:f>
        <ns0:v>3</ns0:v>
      </ns0:c>
      <ns0:c r="O46" s="29" t="n">
        <ns0:f>IF(A46="","",O45+IF(AND(B46="B",F46=1),1,0))</ns0:f>
        <ns0:v>3</ns0:v>
      </ns0:c>
      <ns0:c r="P46" s="30" t="str">
        <ns0:f>IF(A46="","",IF(L46&lt;=0,"B Wins",IF(M46&lt;=0,"A Wins","Ongoing")))</ns0:f>
        <ns0:v>Ongoing</ns0:v>
      </ns0:c>
    </ns0:row>
    <ns0:row r="47" ht="24" customHeight="1" s="4">
      <ns0:c r="A47" s="27" t="n">
        <ns0:f>IF(P46="Ongoing",A46+1,"")</ns0:f>
        <ns0:v>7</ns0:v>
      </ns0:c>
      <ns0:c r="B47" s="28" t="str">
        <ns0:f>IF(A47="","",IF(MOD(A47,2)=1,$B$30,IF($B$30="A","B","A")))</ns0:f>
        <ns0:v>A</ns0:v>
      </ns0:c>
      <ns0:c r="C47" s="27" t="n">
        <ns0:f>IF(A47="","",IF(A47&lt;=2,2,IF(A47&lt;=4,4,5)))</ns0:f>
        <ns0:v>5</ns0:v>
      </ns0:c>
      <ns0:c r="D47" s="27" t="n">
        <ns0:f>IF(A47="","",IF(B47="A",I46,J46))</ns0:f>
        <ns0:v>0</ns0:v>
      </ns0:c>
      <ns0:c r="E47" s="27" t="n">
        <ns0:f>IF(A47="","",IF(B47="A",$B$24,$C$24))</ns0:f>
        <ns0:v>100</ns0:v>
      </ns0:c>
      <ns0:c r="F47" s="27" t="n">
        <ns0:f>IF(A47="","",IF(D47+E47&gt;=IF(B47="A",$B$17,$C$17),MIN(1,C47),0))</ns0:f>
        <ns0:v>1</ns0:v>
      </ns0:c>
      <ns0:c r="G47" s="28" t="str">
        <ns0:f>IF(A47="","",IF(F47=1,"Normal Attack","Pass: insufficient AP"))</ns0:f>
        <ns0:v>Normal Attack</ns0:v>
      </ns0:c>
      <ns0:c r="H47" s="27" t="n">
        <ns0:f>IF(A47="","",IF(F47=1,IF(B47="A",$B$16,$C$16),0))</ns0:f>
        <ns0:v>100</ns0:v>
      </ns0:c>
      <ns0:c r="I47" s="27" t="n">
        <ns0:f>IF(A47="","",I46+IF(B47="A",E47-H47,0))</ns0:f>
        <ns0:v>0</ns0:v>
      </ns0:c>
      <ns0:c r="J47" s="27" t="n">
        <ns0:f>IF(A47="","",J46+IF(B47="B",E47-H47,0))</ns0:f>
        <ns0:v>0</ns0:v>
      </ns0:c>
      <ns0:c r="K47" s="27" t="n">
        <ns0:f>IF(A47="","",IF(F47=1,IF(B47="A",MIN($B$26,M46),MIN($C$26,L46)),0))</ns0:f>
        <ns0:v>1000</ns0:v>
      </ns0:c>
      <ns0:c r="L47" s="27" t="n">
        <ns0:f>IF(A47="","",MAX(0,L46-IF(B47="B",K47,0)))</ns0:f>
        <ns0:v>17000</ns0:v>
      </ns0:c>
      <ns0:c r="M47" s="27" t="n">
        <ns0:f>IF(A47="","",MAX(0,M46-IF(B47="A",K47,0)))</ns0:f>
        <ns0:v>16000</ns0:v>
      </ns0:c>
      <ns0:c r="N47" s="27" t="n">
        <ns0:f>IF(A47="","",N46+IF(AND(B47="A",F47=1),1,0))</ns0:f>
        <ns0:v>4</ns0:v>
      </ns0:c>
      <ns0:c r="O47" s="27" t="n">
        <ns0:f>IF(A47="","",O46+IF(AND(B47="B",F47=1),1,0))</ns0:f>
        <ns0:v>3</ns0:v>
      </ns0:c>
      <ns0:c r="P47" s="28" t="str">
        <ns0:f>IF(A47="","",IF(L47&lt;=0,"B Wins",IF(M47&lt;=0,"A Wins","Ongoing")))</ns0:f>
        <ns0:v>Ongoing</ns0:v>
      </ns0:c>
    </ns0:row>
    <ns0:row r="48" ht="24" customHeight="1" s="4">
      <ns0:c r="A48" s="29" t="n">
        <ns0:f>IF(P47="Ongoing",A47+1,"")</ns0:f>
        <ns0:v>8</ns0:v>
      </ns0:c>
      <ns0:c r="B48" s="30" t="str">
        <ns0:f>IF(A48="","",IF(MOD(A48,2)=1,$B$30,IF($B$30="A","B","A")))</ns0:f>
        <ns0:v>B</ns0:v>
      </ns0:c>
      <ns0:c r="C48" s="29" t="n">
        <ns0:f>IF(A48="","",IF(A48&lt;=2,2,IF(A48&lt;=4,4,5)))</ns0:f>
        <ns0:v>5</ns0:v>
      </ns0:c>
      <ns0:c r="D48" s="29" t="n">
        <ns0:f>IF(A48="","",IF(B48="A",I47,J47))</ns0:f>
        <ns0:v>0</ns0:v>
      </ns0:c>
      <ns0:c r="E48" s="29" t="n">
        <ns0:f>IF(A48="","",IF(B48="A",$B$24,$C$24))</ns0:f>
        <ns0:v>100</ns0:v>
      </ns0:c>
      <ns0:c r="F48" s="29" t="n">
        <ns0:f>IF(A48="","",IF(D48+E48&gt;=IF(B48="A",$B$17,$C$17),MIN(1,C48),0))</ns0:f>
        <ns0:v>1</ns0:v>
      </ns0:c>
      <ns0:c r="G48" s="30" t="str">
        <ns0:f>IF(A48="","",IF(F48=1,"Normal Attack","Pass: insufficient AP"))</ns0:f>
        <ns0:v>Normal Attack</ns0:v>
      </ns0:c>
      <ns0:c r="H48" s="29" t="n">
        <ns0:f>IF(A48="","",IF(F48=1,IF(B48="A",$B$16,$C$16),0))</ns0:f>
        <ns0:v>100</ns0:v>
      </ns0:c>
      <ns0:c r="I48" s="29" t="n">
        <ns0:f>IF(A48="","",I47+IF(B48="A",E48-H48,0))</ns0:f>
        <ns0:v>0</ns0:v>
      </ns0:c>
      <ns0:c r="J48" s="29" t="n">
        <ns0:f>IF(A48="","",J47+IF(B48="B",E48-H48,0))</ns0:f>
        <ns0:v>0</ns0:v>
      </ns0:c>
      <ns0:c r="K48" s="29" t="n">
        <ns0:f>IF(A48="","",IF(F48=1,IF(B48="A",MIN($B$26,M47),MIN($C$26,L47)),0))</ns0:f>
        <ns0:v>1000</ns0:v>
      </ns0:c>
      <ns0:c r="L48" s="29" t="n">
        <ns0:f>IF(A48="","",MAX(0,L47-IF(B48="B",K48,0)))</ns0:f>
        <ns0:v>16000</ns0:v>
      </ns0:c>
      <ns0:c r="M48" s="29" t="n">
        <ns0:f>IF(A48="","",MAX(0,M47-IF(B48="A",K48,0)))</ns0:f>
        <ns0:v>16000</ns0:v>
      </ns0:c>
      <ns0:c r="N48" s="29" t="n">
        <ns0:f>IF(A48="","",N47+IF(AND(B48="A",F48=1),1,0))</ns0:f>
        <ns0:v>4</ns0:v>
      </ns0:c>
      <ns0:c r="O48" s="29" t="n">
        <ns0:f>IF(A48="","",O47+IF(AND(B48="B",F48=1),1,0))</ns0:f>
        <ns0:v>4</ns0:v>
      </ns0:c>
      <ns0:c r="P48" s="30" t="str">
        <ns0:f>IF(A48="","",IF(L48&lt;=0,"B Wins",IF(M48&lt;=0,"A Wins","Ongoing")))</ns0:f>
        <ns0:v>Ongoing</ns0:v>
      </ns0:c>
    </ns0:row>
    <ns0:row r="49" ht="24" customHeight="1" s="4">
      <ns0:c r="A49" s="27" t="n">
        <ns0:f>IF(P48="Ongoing",A48+1,"")</ns0:f>
        <ns0:v>9</ns0:v>
      </ns0:c>
      <ns0:c r="B49" s="28" t="str">
        <ns0:f>IF(A49="","",IF(MOD(A49,2)=1,$B$30,IF($B$30="A","B","A")))</ns0:f>
        <ns0:v>A</ns0:v>
      </ns0:c>
      <ns0:c r="C49" s="27" t="n">
        <ns0:f>IF(A49="","",IF(A49&lt;=2,2,IF(A49&lt;=4,4,5)))</ns0:f>
        <ns0:v>5</ns0:v>
      </ns0:c>
      <ns0:c r="D49" s="27" t="n">
        <ns0:f>IF(A49="","",IF(B49="A",I48,J48))</ns0:f>
        <ns0:v>0</ns0:v>
      </ns0:c>
      <ns0:c r="E49" s="27" t="n">
        <ns0:f>IF(A49="","",IF(B49="A",$B$24,$C$24))</ns0:f>
        <ns0:v>100</ns0:v>
      </ns0:c>
      <ns0:c r="F49" s="27" t="n">
        <ns0:f>IF(A49="","",IF(D49+E49&gt;=IF(B49="A",$B$17,$C$17),MIN(1,C49),0))</ns0:f>
        <ns0:v>1</ns0:v>
      </ns0:c>
      <ns0:c r="G49" s="28" t="str">
        <ns0:f>IF(A49="","",IF(F49=1,"Normal Attack","Pass: insufficient AP"))</ns0:f>
        <ns0:v>Normal Attack</ns0:v>
      </ns0:c>
      <ns0:c r="H49" s="27" t="n">
        <ns0:f>IF(A49="","",IF(F49=1,IF(B49="A",$B$16,$C$16),0))</ns0:f>
        <ns0:v>100</ns0:v>
      </ns0:c>
      <ns0:c r="I49" s="27" t="n">
        <ns0:f>IF(A49="","",I48+IF(B49="A",E49-H49,0))</ns0:f>
        <ns0:v>0</ns0:v>
      </ns0:c>
      <ns0:c r="J49" s="27" t="n">
        <ns0:f>IF(A49="","",J48+IF(B49="B",E49-H49,0))</ns0:f>
        <ns0:v>0</ns0:v>
      </ns0:c>
      <ns0:c r="K49" s="27" t="n">
        <ns0:f>IF(A49="","",IF(F49=1,IF(B49="A",MIN($B$26,M48),MIN($C$26,L48)),0))</ns0:f>
        <ns0:v>1000</ns0:v>
      </ns0:c>
      <ns0:c r="L49" s="27" t="n">
        <ns0:f>IF(A49="","",MAX(0,L48-IF(B49="B",K49,0)))</ns0:f>
        <ns0:v>16000</ns0:v>
      </ns0:c>
      <ns0:c r="M49" s="27" t="n">
        <ns0:f>IF(A49="","",MAX(0,M48-IF(B49="A",K49,0)))</ns0:f>
        <ns0:v>15000</ns0:v>
      </ns0:c>
      <ns0:c r="N49" s="27" t="n">
        <ns0:f>IF(A49="","",N48+IF(AND(B49="A",F49=1),1,0))</ns0:f>
        <ns0:v>5</ns0:v>
      </ns0:c>
      <ns0:c r="O49" s="27" t="n">
        <ns0:f>IF(A49="","",O48+IF(AND(B49="B",F49=1),1,0))</ns0:f>
        <ns0:v>4</ns0:v>
      </ns0:c>
      <ns0:c r="P49" s="28" t="str">
        <ns0:f>IF(A49="","",IF(L49&lt;=0,"B Wins",IF(M49&lt;=0,"A Wins","Ongoing")))</ns0:f>
        <ns0:v>Ongoing</ns0:v>
      </ns0:c>
    </ns0:row>
    <ns0:row r="50" ht="24" customHeight="1" s="4">
      <ns0:c r="A50" s="29" t="n">
        <ns0:f>IF(P49="Ongoing",A49+1,"")</ns0:f>
        <ns0:v>10</ns0:v>
      </ns0:c>
      <ns0:c r="B50" s="30" t="str">
        <ns0:f>IF(A50="","",IF(MOD(A50,2)=1,$B$30,IF($B$30="A","B","A")))</ns0:f>
        <ns0:v>B</ns0:v>
      </ns0:c>
      <ns0:c r="C50" s="29" t="n">
        <ns0:f>IF(A50="","",IF(A50&lt;=2,2,IF(A50&lt;=4,4,5)))</ns0:f>
        <ns0:v>5</ns0:v>
      </ns0:c>
      <ns0:c r="D50" s="29" t="n">
        <ns0:f>IF(A50="","",IF(B50="A",I49,J49))</ns0:f>
        <ns0:v>0</ns0:v>
      </ns0:c>
      <ns0:c r="E50" s="29" t="n">
        <ns0:f>IF(A50="","",IF(B50="A",$B$24,$C$24))</ns0:f>
        <ns0:v>100</ns0:v>
      </ns0:c>
      <ns0:c r="F50" s="29" t="n">
        <ns0:f>IF(A50="","",IF(D50+E50&gt;=IF(B50="A",$B$17,$C$17),MIN(1,C50),0))</ns0:f>
        <ns0:v>1</ns0:v>
      </ns0:c>
      <ns0:c r="G50" s="30" t="str">
        <ns0:f>IF(A50="","",IF(F50=1,"Normal Attack","Pass: insufficient AP"))</ns0:f>
        <ns0:v>Normal Attack</ns0:v>
      </ns0:c>
      <ns0:c r="H50" s="29" t="n">
        <ns0:f>IF(A50="","",IF(F50=1,IF(B50="A",$B$16,$C$16),0))</ns0:f>
        <ns0:v>100</ns0:v>
      </ns0:c>
      <ns0:c r="I50" s="29" t="n">
        <ns0:f>IF(A50="","",I49+IF(B50="A",E50-H50,0))</ns0:f>
        <ns0:v>0</ns0:v>
      </ns0:c>
      <ns0:c r="J50" s="29" t="n">
        <ns0:f>IF(A50="","",J49+IF(B50="B",E50-H50,0))</ns0:f>
        <ns0:v>0</ns0:v>
      </ns0:c>
      <ns0:c r="K50" s="29" t="n">
        <ns0:f>IF(A50="","",IF(F50=1,IF(B50="A",MIN($B$26,M49),MIN($C$26,L49)),0))</ns0:f>
        <ns0:v>1000</ns0:v>
      </ns0:c>
      <ns0:c r="L50" s="29" t="n">
        <ns0:f>IF(A50="","",MAX(0,L49-IF(B50="B",K50,0)))</ns0:f>
        <ns0:v>15000</ns0:v>
      </ns0:c>
      <ns0:c r="M50" s="29" t="n">
        <ns0:f>IF(A50="","",MAX(0,M49-IF(B50="A",K50,0)))</ns0:f>
        <ns0:v>15000</ns0:v>
      </ns0:c>
      <ns0:c r="N50" s="29" t="n">
        <ns0:f>IF(A50="","",N49+IF(AND(B50="A",F50=1),1,0))</ns0:f>
        <ns0:v>5</ns0:v>
      </ns0:c>
      <ns0:c r="O50" s="29" t="n">
        <ns0:f>IF(A50="","",O49+IF(AND(B50="B",F50=1),1,0))</ns0:f>
        <ns0:v>5</ns0:v>
      </ns0:c>
      <ns0:c r="P50" s="30" t="str">
        <ns0:f>IF(A50="","",IF(L50&lt;=0,"B Wins",IF(M50&lt;=0,"A Wins","Ongoing")))</ns0:f>
        <ns0:v>Ongoing</ns0:v>
      </ns0:c>
    </ns0:row>
    <ns0:row r="51" ht="24" customHeight="1" s="4">
      <ns0:c r="A51" s="27" t="n">
        <ns0:f>IF(P50="Ongoing",A50+1,"")</ns0:f>
        <ns0:v>11</ns0:v>
      </ns0:c>
      <ns0:c r="B51" s="28" t="str">
        <ns0:f>IF(A51="","",IF(MOD(A51,2)=1,$B$30,IF($B$30="A","B","A")))</ns0:f>
        <ns0:v>A</ns0:v>
      </ns0:c>
      <ns0:c r="C51" s="27" t="n">
        <ns0:f>IF(A51="","",IF(A51&lt;=2,2,IF(A51&lt;=4,4,5)))</ns0:f>
        <ns0:v>5</ns0:v>
      </ns0:c>
      <ns0:c r="D51" s="27" t="n">
        <ns0:f>IF(A51="","",IF(B51="A",I50,J50))</ns0:f>
        <ns0:v>0</ns0:v>
      </ns0:c>
      <ns0:c r="E51" s="27" t="n">
        <ns0:f>IF(A51="","",IF(B51="A",$B$24,$C$24))</ns0:f>
        <ns0:v>100</ns0:v>
      </ns0:c>
      <ns0:c r="F51" s="27" t="n">
        <ns0:f>IF(A51="","",IF(D51+E51&gt;=IF(B51="A",$B$17,$C$17),MIN(1,C51),0))</ns0:f>
        <ns0:v>1</ns0:v>
      </ns0:c>
      <ns0:c r="G51" s="28" t="str">
        <ns0:f>IF(A51="","",IF(F51=1,"Normal Attack","Pass: insufficient AP"))</ns0:f>
        <ns0:v>Normal Attack</ns0:v>
      </ns0:c>
      <ns0:c r="H51" s="27" t="n">
        <ns0:f>IF(A51="","",IF(F51=1,IF(B51="A",$B$16,$C$16),0))</ns0:f>
        <ns0:v>100</ns0:v>
      </ns0:c>
      <ns0:c r="I51" s="27" t="n">
        <ns0:f>IF(A51="","",I50+IF(B51="A",E51-H51,0))</ns0:f>
        <ns0:v>0</ns0:v>
      </ns0:c>
      <ns0:c r="J51" s="27" t="n">
        <ns0:f>IF(A51="","",J50+IF(B51="B",E51-H51,0))</ns0:f>
        <ns0:v>0</ns0:v>
      </ns0:c>
      <ns0:c r="K51" s="27" t="n">
        <ns0:f>IF(A51="","",IF(F51=1,IF(B51="A",MIN($B$26,M50),MIN($C$26,L50)),0))</ns0:f>
        <ns0:v>1000</ns0:v>
      </ns0:c>
      <ns0:c r="L51" s="27" t="n">
        <ns0:f>IF(A51="","",MAX(0,L50-IF(B51="B",K51,0)))</ns0:f>
        <ns0:v>15000</ns0:v>
      </ns0:c>
      <ns0:c r="M51" s="27" t="n">
        <ns0:f>IF(A51="","",MAX(0,M50-IF(B51="A",K51,0)))</ns0:f>
        <ns0:v>14000</ns0:v>
      </ns0:c>
      <ns0:c r="N51" s="27" t="n">
        <ns0:f>IF(A51="","",N50+IF(AND(B51="A",F51=1),1,0))</ns0:f>
        <ns0:v>6</ns0:v>
      </ns0:c>
      <ns0:c r="O51" s="27" t="n">
        <ns0:f>IF(A51="","",O50+IF(AND(B51="B",F51=1),1,0))</ns0:f>
        <ns0:v>5</ns0:v>
      </ns0:c>
      <ns0:c r="P51" s="28" t="str">
        <ns0:f>IF(A51="","",IF(L51&lt;=0,"B Wins",IF(M51&lt;=0,"A Wins","Ongoing")))</ns0:f>
        <ns0:v>Ongoing</ns0:v>
      </ns0:c>
    </ns0:row>
    <ns0:row r="52" ht="24" customHeight="1" s="4">
      <ns0:c r="A52" s="29" t="n">
        <ns0:f>IF(P51="Ongoing",A51+1,"")</ns0:f>
        <ns0:v>12</ns0:v>
      </ns0:c>
      <ns0:c r="B52" s="30" t="str">
        <ns0:f>IF(A52="","",IF(MOD(A52,2)=1,$B$30,IF($B$30="A","B","A")))</ns0:f>
        <ns0:v>B</ns0:v>
      </ns0:c>
      <ns0:c r="C52" s="29" t="n">
        <ns0:f>IF(A52="","",IF(A52&lt;=2,2,IF(A52&lt;=4,4,5)))</ns0:f>
        <ns0:v>5</ns0:v>
      </ns0:c>
      <ns0:c r="D52" s="29" t="n">
        <ns0:f>IF(A52="","",IF(B52="A",I51,J51))</ns0:f>
        <ns0:v>0</ns0:v>
      </ns0:c>
      <ns0:c r="E52" s="29" t="n">
        <ns0:f>IF(A52="","",IF(B52="A",$B$24,$C$24))</ns0:f>
        <ns0:v>100</ns0:v>
      </ns0:c>
      <ns0:c r="F52" s="29" t="n">
        <ns0:f>IF(A52="","",IF(D52+E52&gt;=IF(B52="A",$B$17,$C$17),MIN(1,C52),0))</ns0:f>
        <ns0:v>1</ns0:v>
      </ns0:c>
      <ns0:c r="G52" s="30" t="str">
        <ns0:f>IF(A52="","",IF(F52=1,"Normal Attack","Pass: insufficient AP"))</ns0:f>
        <ns0:v>Normal Attack</ns0:v>
      </ns0:c>
      <ns0:c r="H52" s="29" t="n">
        <ns0:f>IF(A52="","",IF(F52=1,IF(B52="A",$B$16,$C$16),0))</ns0:f>
        <ns0:v>100</ns0:v>
      </ns0:c>
      <ns0:c r="I52" s="29" t="n">
        <ns0:f>IF(A52="","",I51+IF(B52="A",E52-H52,0))</ns0:f>
        <ns0:v>0</ns0:v>
      </ns0:c>
      <ns0:c r="J52" s="29" t="n">
        <ns0:f>IF(A52="","",J51+IF(B52="B",E52-H52,0))</ns0:f>
        <ns0:v>0</ns0:v>
      </ns0:c>
      <ns0:c r="K52" s="29" t="n">
        <ns0:f>IF(A52="","",IF(F52=1,IF(B52="A",MIN($B$26,M51),MIN($C$26,L51)),0))</ns0:f>
        <ns0:v>1000</ns0:v>
      </ns0:c>
      <ns0:c r="L52" s="29" t="n">
        <ns0:f>IF(A52="","",MAX(0,L51-IF(B52="B",K52,0)))</ns0:f>
        <ns0:v>14000</ns0:v>
      </ns0:c>
      <ns0:c r="M52" s="29" t="n">
        <ns0:f>IF(A52="","",MAX(0,M51-IF(B52="A",K52,0)))</ns0:f>
        <ns0:v>14000</ns0:v>
      </ns0:c>
      <ns0:c r="N52" s="29" t="n">
        <ns0:f>IF(A52="","",N51+IF(AND(B52="A",F52=1),1,0))</ns0:f>
        <ns0:v>6</ns0:v>
      </ns0:c>
      <ns0:c r="O52" s="29" t="n">
        <ns0:f>IF(A52="","",O51+IF(AND(B52="B",F52=1),1,0))</ns0:f>
        <ns0:v>6</ns0:v>
      </ns0:c>
      <ns0:c r="P52" s="30" t="str">
        <ns0:f>IF(A52="","",IF(L52&lt;=0,"B Wins",IF(M52&lt;=0,"A Wins","Ongoing")))</ns0:f>
        <ns0:v>Ongoing</ns0:v>
      </ns0:c>
    </ns0:row>
    <ns0:row r="53" ht="24" customHeight="1" s="4">
      <ns0:c r="A53" s="27" t="n">
        <ns0:f>IF(P52="Ongoing",A52+1,"")</ns0:f>
        <ns0:v>13</ns0:v>
      </ns0:c>
      <ns0:c r="B53" s="28" t="str">
        <ns0:f>IF(A53="","",IF(MOD(A53,2)=1,$B$30,IF($B$30="A","B","A")))</ns0:f>
        <ns0:v>A</ns0:v>
      </ns0:c>
      <ns0:c r="C53" s="27" t="n">
        <ns0:f>IF(A53="","",IF(A53&lt;=2,2,IF(A53&lt;=4,4,5)))</ns0:f>
        <ns0:v>5</ns0:v>
      </ns0:c>
      <ns0:c r="D53" s="27" t="n">
        <ns0:f>IF(A53="","",IF(B53="A",I52,J52))</ns0:f>
        <ns0:v>0</ns0:v>
      </ns0:c>
      <ns0:c r="E53" s="27" t="n">
        <ns0:f>IF(A53="","",IF(B53="A",$B$24,$C$24))</ns0:f>
        <ns0:v>100</ns0:v>
      </ns0:c>
      <ns0:c r="F53" s="27" t="n">
        <ns0:f>IF(A53="","",IF(D53+E53&gt;=IF(B53="A",$B$17,$C$17),MIN(1,C53),0))</ns0:f>
        <ns0:v>1</ns0:v>
      </ns0:c>
      <ns0:c r="G53" s="28" t="str">
        <ns0:f>IF(A53="","",IF(F53=1,"Normal Attack","Pass: insufficient AP"))</ns0:f>
        <ns0:v>Normal Attack</ns0:v>
      </ns0:c>
      <ns0:c r="H53" s="27" t="n">
        <ns0:f>IF(A53="","",IF(F53=1,IF(B53="A",$B$16,$C$16),0))</ns0:f>
        <ns0:v>100</ns0:v>
      </ns0:c>
      <ns0:c r="I53" s="27" t="n">
        <ns0:f>IF(A53="","",I52+IF(B53="A",E53-H53,0))</ns0:f>
        <ns0:v>0</ns0:v>
      </ns0:c>
      <ns0:c r="J53" s="27" t="n">
        <ns0:f>IF(A53="","",J52+IF(B53="B",E53-H53,0))</ns0:f>
        <ns0:v>0</ns0:v>
      </ns0:c>
      <ns0:c r="K53" s="27" t="n">
        <ns0:f>IF(A53="","",IF(F53=1,IF(B53="A",MIN($B$26,M52),MIN($C$26,L52)),0))</ns0:f>
        <ns0:v>1000</ns0:v>
      </ns0:c>
      <ns0:c r="L53" s="27" t="n">
        <ns0:f>IF(A53="","",MAX(0,L52-IF(B53="B",K53,0)))</ns0:f>
        <ns0:v>14000</ns0:v>
      </ns0:c>
      <ns0:c r="M53" s="27" t="n">
        <ns0:f>IF(A53="","",MAX(0,M52-IF(B53="A",K53,0)))</ns0:f>
        <ns0:v>13000</ns0:v>
      </ns0:c>
      <ns0:c r="N53" s="27" t="n">
        <ns0:f>IF(A53="","",N52+IF(AND(B53="A",F53=1),1,0))</ns0:f>
        <ns0:v>7</ns0:v>
      </ns0:c>
      <ns0:c r="O53" s="27" t="n">
        <ns0:f>IF(A53="","",O52+IF(AND(B53="B",F53=1),1,0))</ns0:f>
        <ns0:v>6</ns0:v>
      </ns0:c>
      <ns0:c r="P53" s="28" t="str">
        <ns0:f>IF(A53="","",IF(L53&lt;=0,"B Wins",IF(M53&lt;=0,"A Wins","Ongoing")))</ns0:f>
        <ns0:v>Ongoing</ns0:v>
      </ns0:c>
    </ns0:row>
    <ns0:row r="54" ht="24" customHeight="1" s="4">
      <ns0:c r="A54" s="29" t="n">
        <ns0:f>IF(P53="Ongoing",A53+1,"")</ns0:f>
        <ns0:v>14</ns0:v>
      </ns0:c>
      <ns0:c r="B54" s="30" t="str">
        <ns0:f>IF(A54="","",IF(MOD(A54,2)=1,$B$30,IF($B$30="A","B","A")))</ns0:f>
        <ns0:v>B</ns0:v>
      </ns0:c>
      <ns0:c r="C54" s="29" t="n">
        <ns0:f>IF(A54="","",IF(A54&lt;=2,2,IF(A54&lt;=4,4,5)))</ns0:f>
        <ns0:v>5</ns0:v>
      </ns0:c>
      <ns0:c r="D54" s="29" t="n">
        <ns0:f>IF(A54="","",IF(B54="A",I53,J53))</ns0:f>
        <ns0:v>0</ns0:v>
      </ns0:c>
      <ns0:c r="E54" s="29" t="n">
        <ns0:f>IF(A54="","",IF(B54="A",$B$24,$C$24))</ns0:f>
        <ns0:v>100</ns0:v>
      </ns0:c>
      <ns0:c r="F54" s="29" t="n">
        <ns0:f>IF(A54="","",IF(D54+E54&gt;=IF(B54="A",$B$17,$C$17),MIN(1,C54),0))</ns0:f>
        <ns0:v>1</ns0:v>
      </ns0:c>
      <ns0:c r="G54" s="30" t="str">
        <ns0:f>IF(A54="","",IF(F54=1,"Normal Attack","Pass: insufficient AP"))</ns0:f>
        <ns0:v>Normal Attack</ns0:v>
      </ns0:c>
      <ns0:c r="H54" s="29" t="n">
        <ns0:f>IF(A54="","",IF(F54=1,IF(B54="A",$B$16,$C$16),0))</ns0:f>
        <ns0:v>100</ns0:v>
      </ns0:c>
      <ns0:c r="I54" s="29" t="n">
        <ns0:f>IF(A54="","",I53+IF(B54="A",E54-H54,0))</ns0:f>
        <ns0:v>0</ns0:v>
      </ns0:c>
      <ns0:c r="J54" s="29" t="n">
        <ns0:f>IF(A54="","",J53+IF(B54="B",E54-H54,0))</ns0:f>
        <ns0:v>0</ns0:v>
      </ns0:c>
      <ns0:c r="K54" s="29" t="n">
        <ns0:f>IF(A54="","",IF(F54=1,IF(B54="A",MIN($B$26,M53),MIN($C$26,L53)),0))</ns0:f>
        <ns0:v>1000</ns0:v>
      </ns0:c>
      <ns0:c r="L54" s="29" t="n">
        <ns0:f>IF(A54="","",MAX(0,L53-IF(B54="B",K54,0)))</ns0:f>
        <ns0:v>13000</ns0:v>
      </ns0:c>
      <ns0:c r="M54" s="29" t="n">
        <ns0:f>IF(A54="","",MAX(0,M53-IF(B54="A",K54,0)))</ns0:f>
        <ns0:v>13000</ns0:v>
      </ns0:c>
      <ns0:c r="N54" s="29" t="n">
        <ns0:f>IF(A54="","",N53+IF(AND(B54="A",F54=1),1,0))</ns0:f>
        <ns0:v>7</ns0:v>
      </ns0:c>
      <ns0:c r="O54" s="29" t="n">
        <ns0:f>IF(A54="","",O53+IF(AND(B54="B",F54=1),1,0))</ns0:f>
        <ns0:v>7</ns0:v>
      </ns0:c>
      <ns0:c r="P54" s="30" t="str">
        <ns0:f>IF(A54="","",IF(L54&lt;=0,"B Wins",IF(M54&lt;=0,"A Wins","Ongoing")))</ns0:f>
        <ns0:v>Ongoing</ns0:v>
      </ns0:c>
    </ns0:row>
    <ns0:row r="55" ht="24" customHeight="1" s="4">
      <ns0:c r="A55" s="27" t="n">
        <ns0:f>IF(P54="Ongoing",A54+1,"")</ns0:f>
        <ns0:v>15</ns0:v>
      </ns0:c>
      <ns0:c r="B55" s="28" t="str">
        <ns0:f>IF(A55="","",IF(MOD(A55,2)=1,$B$30,IF($B$30="A","B","A")))</ns0:f>
        <ns0:v>A</ns0:v>
      </ns0:c>
      <ns0:c r="C55" s="27" t="n">
        <ns0:f>IF(A55="","",IF(A55&lt;=2,2,IF(A55&lt;=4,4,5)))</ns0:f>
        <ns0:v>5</ns0:v>
      </ns0:c>
      <ns0:c r="D55" s="27" t="n">
        <ns0:f>IF(A55="","",IF(B55="A",I54,J54))</ns0:f>
        <ns0:v>0</ns0:v>
      </ns0:c>
      <ns0:c r="E55" s="27" t="n">
        <ns0:f>IF(A55="","",IF(B55="A",$B$24,$C$24))</ns0:f>
        <ns0:v>100</ns0:v>
      </ns0:c>
      <ns0:c r="F55" s="27" t="n">
        <ns0:f>IF(A55="","",IF(D55+E55&gt;=IF(B55="A",$B$17,$C$17),MIN(1,C55),0))</ns0:f>
        <ns0:v>1</ns0:v>
      </ns0:c>
      <ns0:c r="G55" s="28" t="str">
        <ns0:f>IF(A55="","",IF(F55=1,"Normal Attack","Pass: insufficient AP"))</ns0:f>
        <ns0:v>Normal Attack</ns0:v>
      </ns0:c>
      <ns0:c r="H55" s="27" t="n">
        <ns0:f>IF(A55="","",IF(F55=1,IF(B55="A",$B$16,$C$16),0))</ns0:f>
        <ns0:v>100</ns0:v>
      </ns0:c>
      <ns0:c r="I55" s="27" t="n">
        <ns0:f>IF(A55="","",I54+IF(B55="A",E55-H55,0))</ns0:f>
        <ns0:v>0</ns0:v>
      </ns0:c>
      <ns0:c r="J55" s="27" t="n">
        <ns0:f>IF(A55="","",J54+IF(B55="B",E55-H55,0))</ns0:f>
        <ns0:v>0</ns0:v>
      </ns0:c>
      <ns0:c r="K55" s="27" t="n">
        <ns0:f>IF(A55="","",IF(F55=1,IF(B55="A",MIN($B$26,M54),MIN($C$26,L54)),0))</ns0:f>
        <ns0:v>1000</ns0:v>
      </ns0:c>
      <ns0:c r="L55" s="27" t="n">
        <ns0:f>IF(A55="","",MAX(0,L54-IF(B55="B",K55,0)))</ns0:f>
        <ns0:v>13000</ns0:v>
      </ns0:c>
      <ns0:c r="M55" s="27" t="n">
        <ns0:f>IF(A55="","",MAX(0,M54-IF(B55="A",K55,0)))</ns0:f>
        <ns0:v>12000</ns0:v>
      </ns0:c>
      <ns0:c r="N55" s="27" t="n">
        <ns0:f>IF(A55="","",N54+IF(AND(B55="A",F55=1),1,0))</ns0:f>
        <ns0:v>8</ns0:v>
      </ns0:c>
      <ns0:c r="O55" s="27" t="n">
        <ns0:f>IF(A55="","",O54+IF(AND(B55="B",F55=1),1,0))</ns0:f>
        <ns0:v>7</ns0:v>
      </ns0:c>
      <ns0:c r="P55" s="28" t="str">
        <ns0:f>IF(A55="","",IF(L55&lt;=0,"B Wins",IF(M55&lt;=0,"A Wins","Ongoing")))</ns0:f>
        <ns0:v>Ongoing</ns0:v>
      </ns0:c>
    </ns0:row>
    <ns0:row r="56" ht="24" customHeight="1" s="4">
      <ns0:c r="A56" s="29" t="n">
        <ns0:f>IF(P55="Ongoing",A55+1,"")</ns0:f>
        <ns0:v>16</ns0:v>
      </ns0:c>
      <ns0:c r="B56" s="30" t="str">
        <ns0:f>IF(A56="","",IF(MOD(A56,2)=1,$B$30,IF($B$30="A","B","A")))</ns0:f>
        <ns0:v>B</ns0:v>
      </ns0:c>
      <ns0:c r="C56" s="29" t="n">
        <ns0:f>IF(A56="","",IF(A56&lt;=2,2,IF(A56&lt;=4,4,5)))</ns0:f>
        <ns0:v>5</ns0:v>
      </ns0:c>
      <ns0:c r="D56" s="29" t="n">
        <ns0:f>IF(A56="","",IF(B56="A",I55,J55))</ns0:f>
        <ns0:v>0</ns0:v>
      </ns0:c>
      <ns0:c r="E56" s="29" t="n">
        <ns0:f>IF(A56="","",IF(B56="A",$B$24,$C$24))</ns0:f>
        <ns0:v>100</ns0:v>
      </ns0:c>
      <ns0:c r="F56" s="29" t="n">
        <ns0:f>IF(A56="","",IF(D56+E56&gt;=IF(B56="A",$B$17,$C$17),MIN(1,C56),0))</ns0:f>
        <ns0:v>1</ns0:v>
      </ns0:c>
      <ns0:c r="G56" s="30" t="str">
        <ns0:f>IF(A56="","",IF(F56=1,"Normal Attack","Pass: insufficient AP"))</ns0:f>
        <ns0:v>Normal Attack</ns0:v>
      </ns0:c>
      <ns0:c r="H56" s="29" t="n">
        <ns0:f>IF(A56="","",IF(F56=1,IF(B56="A",$B$16,$C$16),0))</ns0:f>
        <ns0:v>100</ns0:v>
      </ns0:c>
      <ns0:c r="I56" s="29" t="n">
        <ns0:f>IF(A56="","",I55+IF(B56="A",E56-H56,0))</ns0:f>
        <ns0:v>0</ns0:v>
      </ns0:c>
      <ns0:c r="J56" s="29" t="n">
        <ns0:f>IF(A56="","",J55+IF(B56="B",E56-H56,0))</ns0:f>
        <ns0:v>0</ns0:v>
      </ns0:c>
      <ns0:c r="K56" s="29" t="n">
        <ns0:f>IF(A56="","",IF(F56=1,IF(B56="A",MIN($B$26,M55),MIN($C$26,L55)),0))</ns0:f>
        <ns0:v>1000</ns0:v>
      </ns0:c>
      <ns0:c r="L56" s="29" t="n">
        <ns0:f>IF(A56="","",MAX(0,L55-IF(B56="B",K56,0)))</ns0:f>
        <ns0:v>12000</ns0:v>
      </ns0:c>
      <ns0:c r="M56" s="29" t="n">
        <ns0:f>IF(A56="","",MAX(0,M55-IF(B56="A",K56,0)))</ns0:f>
        <ns0:v>12000</ns0:v>
      </ns0:c>
      <ns0:c r="N56" s="29" t="n">
        <ns0:f>IF(A56="","",N55+IF(AND(B56="A",F56=1),1,0))</ns0:f>
        <ns0:v>8</ns0:v>
      </ns0:c>
      <ns0:c r="O56" s="29" t="n">
        <ns0:f>IF(A56="","",O55+IF(AND(B56="B",F56=1),1,0))</ns0:f>
        <ns0:v>8</ns0:v>
      </ns0:c>
      <ns0:c r="P56" s="30" t="str">
        <ns0:f>IF(A56="","",IF(L56&lt;=0,"B Wins",IF(M56&lt;=0,"A Wins","Ongoing")))</ns0:f>
        <ns0:v>Ongoing</ns0:v>
      </ns0:c>
    </ns0:row>
    <ns0:row r="57" ht="24" customHeight="1" s="4">
      <ns0:c r="A57" s="27" t="n">
        <ns0:f>IF(P56="Ongoing",A56+1,"")</ns0:f>
        <ns0:v>17</ns0:v>
      </ns0:c>
      <ns0:c r="B57" s="28" t="str">
        <ns0:f>IF(A57="","",IF(MOD(A57,2)=1,$B$30,IF($B$30="A","B","A")))</ns0:f>
        <ns0:v>A</ns0:v>
      </ns0:c>
      <ns0:c r="C57" s="27" t="n">
        <ns0:f>IF(A57="","",IF(A57&lt;=2,2,IF(A57&lt;=4,4,5)))</ns0:f>
        <ns0:v>5</ns0:v>
      </ns0:c>
      <ns0:c r="D57" s="27" t="n">
        <ns0:f>IF(A57="","",IF(B57="A",I56,J56))</ns0:f>
        <ns0:v>0</ns0:v>
      </ns0:c>
      <ns0:c r="E57" s="27" t="n">
        <ns0:f>IF(A57="","",IF(B57="A",$B$24,$C$24))</ns0:f>
        <ns0:v>100</ns0:v>
      </ns0:c>
      <ns0:c r="F57" s="27" t="n">
        <ns0:f>IF(A57="","",IF(D57+E57&gt;=IF(B57="A",$B$17,$C$17),MIN(1,C57),0))</ns0:f>
        <ns0:v>1</ns0:v>
      </ns0:c>
      <ns0:c r="G57" s="28" t="str">
        <ns0:f>IF(A57="","",IF(F57=1,"Normal Attack","Pass: insufficient AP"))</ns0:f>
        <ns0:v>Normal Attack</ns0:v>
      </ns0:c>
      <ns0:c r="H57" s="27" t="n">
        <ns0:f>IF(A57="","",IF(F57=1,IF(B57="A",$B$16,$C$16),0))</ns0:f>
        <ns0:v>100</ns0:v>
      </ns0:c>
      <ns0:c r="I57" s="27" t="n">
        <ns0:f>IF(A57="","",I56+IF(B57="A",E57-H57,0))</ns0:f>
        <ns0:v>0</ns0:v>
      </ns0:c>
      <ns0:c r="J57" s="27" t="n">
        <ns0:f>IF(A57="","",J56+IF(B57="B",E57-H57,0))</ns0:f>
        <ns0:v>0</ns0:v>
      </ns0:c>
      <ns0:c r="K57" s="27" t="n">
        <ns0:f>IF(A57="","",IF(F57=1,IF(B57="A",MIN($B$26,M56),MIN($C$26,L56)),0))</ns0:f>
        <ns0:v>1000</ns0:v>
      </ns0:c>
      <ns0:c r="L57" s="27" t="n">
        <ns0:f>IF(A57="","",MAX(0,L56-IF(B57="B",K57,0)))</ns0:f>
        <ns0:v>12000</ns0:v>
      </ns0:c>
      <ns0:c r="M57" s="27" t="n">
        <ns0:f>IF(A57="","",MAX(0,M56-IF(B57="A",K57,0)))</ns0:f>
        <ns0:v>11000</ns0:v>
      </ns0:c>
      <ns0:c r="N57" s="27" t="n">
        <ns0:f>IF(A57="","",N56+IF(AND(B57="A",F57=1),1,0))</ns0:f>
        <ns0:v>9</ns0:v>
      </ns0:c>
      <ns0:c r="O57" s="27" t="n">
        <ns0:f>IF(A57="","",O56+IF(AND(B57="B",F57=1),1,0))</ns0:f>
        <ns0:v>8</ns0:v>
      </ns0:c>
      <ns0:c r="P57" s="28" t="str">
        <ns0:f>IF(A57="","",IF(L57&lt;=0,"B Wins",IF(M57&lt;=0,"A Wins","Ongoing")))</ns0:f>
        <ns0:v>Ongoing</ns0:v>
      </ns0:c>
    </ns0:row>
    <ns0:row r="58" ht="24" customHeight="1" s="4">
      <ns0:c r="A58" s="29" t="n">
        <ns0:f>IF(P57="Ongoing",A57+1,"")</ns0:f>
        <ns0:v>18</ns0:v>
      </ns0:c>
      <ns0:c r="B58" s="30" t="str">
        <ns0:f>IF(A58="","",IF(MOD(A58,2)=1,$B$30,IF($B$30="A","B","A")))</ns0:f>
        <ns0:v>B</ns0:v>
      </ns0:c>
      <ns0:c r="C58" s="29" t="n">
        <ns0:f>IF(A58="","",IF(A58&lt;=2,2,IF(A58&lt;=4,4,5)))</ns0:f>
        <ns0:v>5</ns0:v>
      </ns0:c>
      <ns0:c r="D58" s="29" t="n">
        <ns0:f>IF(A58="","",IF(B58="A",I57,J57))</ns0:f>
        <ns0:v>0</ns0:v>
      </ns0:c>
      <ns0:c r="E58" s="29" t="n">
        <ns0:f>IF(A58="","",IF(B58="A",$B$24,$C$24))</ns0:f>
        <ns0:v>100</ns0:v>
      </ns0:c>
      <ns0:c r="F58" s="29" t="n">
        <ns0:f>IF(A58="","",IF(D58+E58&gt;=IF(B58="A",$B$17,$C$17),MIN(1,C58),0))</ns0:f>
        <ns0:v>1</ns0:v>
      </ns0:c>
      <ns0:c r="G58" s="30" t="str">
        <ns0:f>IF(A58="","",IF(F58=1,"Normal Attack","Pass: insufficient AP"))</ns0:f>
        <ns0:v>Normal Attack</ns0:v>
      </ns0:c>
      <ns0:c r="H58" s="29" t="n">
        <ns0:f>IF(A58="","",IF(F58=1,IF(B58="A",$B$16,$C$16),0))</ns0:f>
        <ns0:v>100</ns0:v>
      </ns0:c>
      <ns0:c r="I58" s="29" t="n">
        <ns0:f>IF(A58="","",I57+IF(B58="A",E58-H58,0))</ns0:f>
        <ns0:v>0</ns0:v>
      </ns0:c>
      <ns0:c r="J58" s="29" t="n">
        <ns0:f>IF(A58="","",J57+IF(B58="B",E58-H58,0))</ns0:f>
        <ns0:v>0</ns0:v>
      </ns0:c>
      <ns0:c r="K58" s="29" t="n">
        <ns0:f>IF(A58="","",IF(F58=1,IF(B58="A",MIN($B$26,M57),MIN($C$26,L57)),0))</ns0:f>
        <ns0:v>1000</ns0:v>
      </ns0:c>
      <ns0:c r="L58" s="29" t="n">
        <ns0:f>IF(A58="","",MAX(0,L57-IF(B58="B",K58,0)))</ns0:f>
        <ns0:v>11000</ns0:v>
      </ns0:c>
      <ns0:c r="M58" s="29" t="n">
        <ns0:f>IF(A58="","",MAX(0,M57-IF(B58="A",K58,0)))</ns0:f>
        <ns0:v>11000</ns0:v>
      </ns0:c>
      <ns0:c r="N58" s="29" t="n">
        <ns0:f>IF(A58="","",N57+IF(AND(B58="A",F58=1),1,0))</ns0:f>
        <ns0:v>9</ns0:v>
      </ns0:c>
      <ns0:c r="O58" s="29" t="n">
        <ns0:f>IF(A58="","",O57+IF(AND(B58="B",F58=1),1,0))</ns0:f>
        <ns0:v>9</ns0:v>
      </ns0:c>
      <ns0:c r="P58" s="30" t="str">
        <ns0:f>IF(A58="","",IF(L58&lt;=0,"B Wins",IF(M58&lt;=0,"A Wins","Ongoing")))</ns0:f>
        <ns0:v>Ongoing</ns0:v>
      </ns0:c>
    </ns0:row>
    <ns0:row r="59" ht="24" customHeight="1" s="4">
      <ns0:c r="A59" s="27" t="n">
        <ns0:f>IF(P58="Ongoing",A58+1,"")</ns0:f>
        <ns0:v>19</ns0:v>
      </ns0:c>
      <ns0:c r="B59" s="28" t="str">
        <ns0:f>IF(A59="","",IF(MOD(A59,2)=1,$B$30,IF($B$30="A","B","A")))</ns0:f>
        <ns0:v>A</ns0:v>
      </ns0:c>
      <ns0:c r="C59" s="27" t="n">
        <ns0:f>IF(A59="","",IF(A59&lt;=2,2,IF(A59&lt;=4,4,5)))</ns0:f>
        <ns0:v>5</ns0:v>
      </ns0:c>
      <ns0:c r="D59" s="27" t="n">
        <ns0:f>IF(A59="","",IF(B59="A",I58,J58))</ns0:f>
        <ns0:v>0</ns0:v>
      </ns0:c>
      <ns0:c r="E59" s="27" t="n">
        <ns0:f>IF(A59="","",IF(B59="A",$B$24,$C$24))</ns0:f>
        <ns0:v>100</ns0:v>
      </ns0:c>
      <ns0:c r="F59" s="27" t="n">
        <ns0:f>IF(A59="","",IF(D59+E59&gt;=IF(B59="A",$B$17,$C$17),MIN(1,C59),0))</ns0:f>
        <ns0:v>1</ns0:v>
      </ns0:c>
      <ns0:c r="G59" s="28" t="str">
        <ns0:f>IF(A59="","",IF(F59=1,"Normal Attack","Pass: insufficient AP"))</ns0:f>
        <ns0:v>Normal Attack</ns0:v>
      </ns0:c>
      <ns0:c r="H59" s="27" t="n">
        <ns0:f>IF(A59="","",IF(F59=1,IF(B59="A",$B$16,$C$16),0))</ns0:f>
        <ns0:v>100</ns0:v>
      </ns0:c>
      <ns0:c r="I59" s="27" t="n">
        <ns0:f>IF(A59="","",I58+IF(B59="A",E59-H59,0))</ns0:f>
        <ns0:v>0</ns0:v>
      </ns0:c>
      <ns0:c r="J59" s="27" t="n">
        <ns0:f>IF(A59="","",J58+IF(B59="B",E59-H59,0))</ns0:f>
        <ns0:v>0</ns0:v>
      </ns0:c>
      <ns0:c r="K59" s="27" t="n">
        <ns0:f>IF(A59="","",IF(F59=1,IF(B59="A",MIN($B$26,M58),MIN($C$26,L58)),0))</ns0:f>
        <ns0:v>1000</ns0:v>
      </ns0:c>
      <ns0:c r="L59" s="27" t="n">
        <ns0:f>IF(A59="","",MAX(0,L58-IF(B59="B",K59,0)))</ns0:f>
        <ns0:v>11000</ns0:v>
      </ns0:c>
      <ns0:c r="M59" s="27" t="n">
        <ns0:f>IF(A59="","",MAX(0,M58-IF(B59="A",K59,0)))</ns0:f>
        <ns0:v>10000</ns0:v>
      </ns0:c>
      <ns0:c r="N59" s="27" t="n">
        <ns0:f>IF(A59="","",N58+IF(AND(B59="A",F59=1),1,0))</ns0:f>
        <ns0:v>10</ns0:v>
      </ns0:c>
      <ns0:c r="O59" s="27" t="n">
        <ns0:f>IF(A59="","",O58+IF(AND(B59="B",F59=1),1,0))</ns0:f>
        <ns0:v>9</ns0:v>
      </ns0:c>
      <ns0:c r="P59" s="28" t="str">
        <ns0:f>IF(A59="","",IF(L59&lt;=0,"B Wins",IF(M59&lt;=0,"A Wins","Ongoing")))</ns0:f>
        <ns0:v>Ongoing</ns0:v>
      </ns0:c>
    </ns0:row>
    <ns0:row r="60" ht="24" customHeight="1" s="4">
      <ns0:c r="A60" s="29" t="n">
        <ns0:f>IF(P59="Ongoing",A59+1,"")</ns0:f>
        <ns0:v>20</ns0:v>
      </ns0:c>
      <ns0:c r="B60" s="30" t="str">
        <ns0:f>IF(A60="","",IF(MOD(A60,2)=1,$B$30,IF($B$30="A","B","A")))</ns0:f>
        <ns0:v>B</ns0:v>
      </ns0:c>
      <ns0:c r="C60" s="29" t="n">
        <ns0:f>IF(A60="","",IF(A60&lt;=2,2,IF(A60&lt;=4,4,5)))</ns0:f>
        <ns0:v>5</ns0:v>
      </ns0:c>
      <ns0:c r="D60" s="29" t="n">
        <ns0:f>IF(A60="","",IF(B60="A",I59,J59))</ns0:f>
        <ns0:v>0</ns0:v>
      </ns0:c>
      <ns0:c r="E60" s="29" t="n">
        <ns0:f>IF(A60="","",IF(B60="A",$B$24,$C$24))</ns0:f>
        <ns0:v>100</ns0:v>
      </ns0:c>
      <ns0:c r="F60" s="29" t="n">
        <ns0:f>IF(A60="","",IF(D60+E60&gt;=IF(B60="A",$B$17,$C$17),MIN(1,C60),0))</ns0:f>
        <ns0:v>1</ns0:v>
      </ns0:c>
      <ns0:c r="G60" s="30" t="str">
        <ns0:f>IF(A60="","",IF(F60=1,"Normal Attack","Pass: insufficient AP"))</ns0:f>
        <ns0:v>Normal Attack</ns0:v>
      </ns0:c>
      <ns0:c r="H60" s="29" t="n">
        <ns0:f>IF(A60="","",IF(F60=1,IF(B60="A",$B$16,$C$16),0))</ns0:f>
        <ns0:v>100</ns0:v>
      </ns0:c>
      <ns0:c r="I60" s="29" t="n">
        <ns0:f>IF(A60="","",I59+IF(B60="A",E60-H60,0))</ns0:f>
        <ns0:v>0</ns0:v>
      </ns0:c>
      <ns0:c r="J60" s="29" t="n">
        <ns0:f>IF(A60="","",J59+IF(B60="B",E60-H60,0))</ns0:f>
        <ns0:v>0</ns0:v>
      </ns0:c>
      <ns0:c r="K60" s="29" t="n">
        <ns0:f>IF(A60="","",IF(F60=1,IF(B60="A",MIN($B$26,M59),MIN($C$26,L59)),0))</ns0:f>
        <ns0:v>1000</ns0:v>
      </ns0:c>
      <ns0:c r="L60" s="29" t="n">
        <ns0:f>IF(A60="","",MAX(0,L59-IF(B60="B",K60,0)))</ns0:f>
        <ns0:v>10000</ns0:v>
      </ns0:c>
      <ns0:c r="M60" s="29" t="n">
        <ns0:f>IF(A60="","",MAX(0,M59-IF(B60="A",K60,0)))</ns0:f>
        <ns0:v>10000</ns0:v>
      </ns0:c>
      <ns0:c r="N60" s="29" t="n">
        <ns0:f>IF(A60="","",N59+IF(AND(B60="A",F60=1),1,0))</ns0:f>
        <ns0:v>10</ns0:v>
      </ns0:c>
      <ns0:c r="O60" s="29" t="n">
        <ns0:f>IF(A60="","",O59+IF(AND(B60="B",F60=1),1,0))</ns0:f>
        <ns0:v>10</ns0:v>
      </ns0:c>
      <ns0:c r="P60" s="30" t="str">
        <ns0:f>IF(A60="","",IF(L60&lt;=0,"B Wins",IF(M60&lt;=0,"A Wins","Ongoing")))</ns0:f>
        <ns0:v>Ongoing</ns0:v>
      </ns0:c>
    </ns0:row>
    <ns0:row r="61" ht="24" customHeight="1" s="4">
      <ns0:c r="A61" s="27" t="n">
        <ns0:f>IF(P60="Ongoing",A60+1,"")</ns0:f>
        <ns0:v>21</ns0:v>
      </ns0:c>
      <ns0:c r="B61" s="28" t="str">
        <ns0:f>IF(A61="","",IF(MOD(A61,2)=1,$B$30,IF($B$30="A","B","A")))</ns0:f>
        <ns0:v>A</ns0:v>
      </ns0:c>
      <ns0:c r="C61" s="27" t="n">
        <ns0:f>IF(A61="","",IF(A61&lt;=2,2,IF(A61&lt;=4,4,5)))</ns0:f>
        <ns0:v>5</ns0:v>
      </ns0:c>
      <ns0:c r="D61" s="27" t="n">
        <ns0:f>IF(A61="","",IF(B61="A",I60,J60))</ns0:f>
        <ns0:v>0</ns0:v>
      </ns0:c>
      <ns0:c r="E61" s="27" t="n">
        <ns0:f>IF(A61="","",IF(B61="A",$B$24,$C$24))</ns0:f>
        <ns0:v>100</ns0:v>
      </ns0:c>
      <ns0:c r="F61" s="27" t="n">
        <ns0:f>IF(A61="","",IF(D61+E61&gt;=IF(B61="A",$B$17,$C$17),MIN(1,C61),0))</ns0:f>
        <ns0:v>1</ns0:v>
      </ns0:c>
      <ns0:c r="G61" s="28" t="str">
        <ns0:f>IF(A61="","",IF(F61=1,"Normal Attack","Pass: insufficient AP"))</ns0:f>
        <ns0:v>Normal Attack</ns0:v>
      </ns0:c>
      <ns0:c r="H61" s="27" t="n">
        <ns0:f>IF(A61="","",IF(F61=1,IF(B61="A",$B$16,$C$16),0))</ns0:f>
        <ns0:v>100</ns0:v>
      </ns0:c>
      <ns0:c r="I61" s="27" t="n">
        <ns0:f>IF(A61="","",I60+IF(B61="A",E61-H61,0))</ns0:f>
        <ns0:v>0</ns0:v>
      </ns0:c>
      <ns0:c r="J61" s="27" t="n">
        <ns0:f>IF(A61="","",J60+IF(B61="B",E61-H61,0))</ns0:f>
        <ns0:v>0</ns0:v>
      </ns0:c>
      <ns0:c r="K61" s="27" t="n">
        <ns0:f>IF(A61="","",IF(F61=1,IF(B61="A",MIN($B$26,M60),MIN($C$26,L60)),0))</ns0:f>
        <ns0:v>1000</ns0:v>
      </ns0:c>
      <ns0:c r="L61" s="27" t="n">
        <ns0:f>IF(A61="","",MAX(0,L60-IF(B61="B",K61,0)))</ns0:f>
        <ns0:v>10000</ns0:v>
      </ns0:c>
      <ns0:c r="M61" s="27" t="n">
        <ns0:f>IF(A61="","",MAX(0,M60-IF(B61="A",K61,0)))</ns0:f>
        <ns0:v>9000</ns0:v>
      </ns0:c>
      <ns0:c r="N61" s="27" t="n">
        <ns0:f>IF(A61="","",N60+IF(AND(B61="A",F61=1),1,0))</ns0:f>
        <ns0:v>11</ns0:v>
      </ns0:c>
      <ns0:c r="O61" s="27" t="n">
        <ns0:f>IF(A61="","",O60+IF(AND(B61="B",F61=1),1,0))</ns0:f>
        <ns0:v>10</ns0:v>
      </ns0:c>
      <ns0:c r="P61" s="28" t="str">
        <ns0:f>IF(A61="","",IF(L61&lt;=0,"B Wins",IF(M61&lt;=0,"A Wins","Ongoing")))</ns0:f>
        <ns0:v>Ongoing</ns0:v>
      </ns0:c>
    </ns0:row>
    <ns0:row r="62" ht="24" customHeight="1" s="4">
      <ns0:c r="A62" s="29" t="n">
        <ns0:f>IF(P61="Ongoing",A61+1,"")</ns0:f>
        <ns0:v>22</ns0:v>
      </ns0:c>
      <ns0:c r="B62" s="30" t="str">
        <ns0:f>IF(A62="","",IF(MOD(A62,2)=1,$B$30,IF($B$30="A","B","A")))</ns0:f>
        <ns0:v>B</ns0:v>
      </ns0:c>
      <ns0:c r="C62" s="29" t="n">
        <ns0:f>IF(A62="","",IF(A62&lt;=2,2,IF(A62&lt;=4,4,5)))</ns0:f>
        <ns0:v>5</ns0:v>
      </ns0:c>
      <ns0:c r="D62" s="29" t="n">
        <ns0:f>IF(A62="","",IF(B62="A",I61,J61))</ns0:f>
        <ns0:v>0</ns0:v>
      </ns0:c>
      <ns0:c r="E62" s="29" t="n">
        <ns0:f>IF(A62="","",IF(B62="A",$B$24,$C$24))</ns0:f>
        <ns0:v>100</ns0:v>
      </ns0:c>
      <ns0:c r="F62" s="29" t="n">
        <ns0:f>IF(A62="","",IF(D62+E62&gt;=IF(B62="A",$B$17,$C$17),MIN(1,C62),0))</ns0:f>
        <ns0:v>1</ns0:v>
      </ns0:c>
      <ns0:c r="G62" s="30" t="str">
        <ns0:f>IF(A62="","",IF(F62=1,"Normal Attack","Pass: insufficient AP"))</ns0:f>
        <ns0:v>Normal Attack</ns0:v>
      </ns0:c>
      <ns0:c r="H62" s="29" t="n">
        <ns0:f>IF(A62="","",IF(F62=1,IF(B62="A",$B$16,$C$16),0))</ns0:f>
        <ns0:v>100</ns0:v>
      </ns0:c>
      <ns0:c r="I62" s="29" t="n">
        <ns0:f>IF(A62="","",I61+IF(B62="A",E62-H62,0))</ns0:f>
        <ns0:v>0</ns0:v>
      </ns0:c>
      <ns0:c r="J62" s="29" t="n">
        <ns0:f>IF(A62="","",J61+IF(B62="B",E62-H62,0))</ns0:f>
        <ns0:v>0</ns0:v>
      </ns0:c>
      <ns0:c r="K62" s="29" t="n">
        <ns0:f>IF(A62="","",IF(F62=1,IF(B62="A",MIN($B$26,M61),MIN($C$26,L61)),0))</ns0:f>
        <ns0:v>1000</ns0:v>
      </ns0:c>
      <ns0:c r="L62" s="29" t="n">
        <ns0:f>IF(A62="","",MAX(0,L61-IF(B62="B",K62,0)))</ns0:f>
        <ns0:v>9000</ns0:v>
      </ns0:c>
      <ns0:c r="M62" s="29" t="n">
        <ns0:f>IF(A62="","",MAX(0,M61-IF(B62="A",K62,0)))</ns0:f>
        <ns0:v>9000</ns0:v>
      </ns0:c>
      <ns0:c r="N62" s="29" t="n">
        <ns0:f>IF(A62="","",N61+IF(AND(B62="A",F62=1),1,0))</ns0:f>
        <ns0:v>11</ns0:v>
      </ns0:c>
      <ns0:c r="O62" s="29" t="n">
        <ns0:f>IF(A62="","",O61+IF(AND(B62="B",F62=1),1,0))</ns0:f>
        <ns0:v>11</ns0:v>
      </ns0:c>
      <ns0:c r="P62" s="30" t="str">
        <ns0:f>IF(A62="","",IF(L62&lt;=0,"B Wins",IF(M62&lt;=0,"A Wins","Ongoing")))</ns0:f>
        <ns0:v>Ongoing</ns0:v>
      </ns0:c>
    </ns0:row>
    <ns0:row r="63" ht="24" customHeight="1" s="4">
      <ns0:c r="A63" s="27" t="n">
        <ns0:f>IF(P62="Ongoing",A62+1,"")</ns0:f>
        <ns0:v>23</ns0:v>
      </ns0:c>
      <ns0:c r="B63" s="28" t="str">
        <ns0:f>IF(A63="","",IF(MOD(A63,2)=1,$B$30,IF($B$30="A","B","A")))</ns0:f>
        <ns0:v>A</ns0:v>
      </ns0:c>
      <ns0:c r="C63" s="27" t="n">
        <ns0:f>IF(A63="","",IF(A63&lt;=2,2,IF(A63&lt;=4,4,5)))</ns0:f>
        <ns0:v>5</ns0:v>
      </ns0:c>
      <ns0:c r="D63" s="27" t="n">
        <ns0:f>IF(A63="","",IF(B63="A",I62,J62))</ns0:f>
        <ns0:v>0</ns0:v>
      </ns0:c>
      <ns0:c r="E63" s="27" t="n">
        <ns0:f>IF(A63="","",IF(B63="A",$B$24,$C$24))</ns0:f>
        <ns0:v>100</ns0:v>
      </ns0:c>
      <ns0:c r="F63" s="27" t="n">
        <ns0:f>IF(A63="","",IF(D63+E63&gt;=IF(B63="A",$B$17,$C$17),MIN(1,C63),0))</ns0:f>
        <ns0:v>1</ns0:v>
      </ns0:c>
      <ns0:c r="G63" s="28" t="str">
        <ns0:f>IF(A63="","",IF(F63=1,"Normal Attack","Pass: insufficient AP"))</ns0:f>
        <ns0:v>Normal Attack</ns0:v>
      </ns0:c>
      <ns0:c r="H63" s="27" t="n">
        <ns0:f>IF(A63="","",IF(F63=1,IF(B63="A",$B$16,$C$16),0))</ns0:f>
        <ns0:v>100</ns0:v>
      </ns0:c>
      <ns0:c r="I63" s="27" t="n">
        <ns0:f>IF(A63="","",I62+IF(B63="A",E63-H63,0))</ns0:f>
        <ns0:v>0</ns0:v>
      </ns0:c>
      <ns0:c r="J63" s="27" t="n">
        <ns0:f>IF(A63="","",J62+IF(B63="B",E63-H63,0))</ns0:f>
        <ns0:v>0</ns0:v>
      </ns0:c>
      <ns0:c r="K63" s="27" t="n">
        <ns0:f>IF(A63="","",IF(F63=1,IF(B63="A",MIN($B$26,M62),MIN($C$26,L62)),0))</ns0:f>
        <ns0:v>1000</ns0:v>
      </ns0:c>
      <ns0:c r="L63" s="27" t="n">
        <ns0:f>IF(A63="","",MAX(0,L62-IF(B63="B",K63,0)))</ns0:f>
        <ns0:v>9000</ns0:v>
      </ns0:c>
      <ns0:c r="M63" s="27" t="n">
        <ns0:f>IF(A63="","",MAX(0,M62-IF(B63="A",K63,0)))</ns0:f>
        <ns0:v>8000</ns0:v>
      </ns0:c>
      <ns0:c r="N63" s="27" t="n">
        <ns0:f>IF(A63="","",N62+IF(AND(B63="A",F63=1),1,0))</ns0:f>
        <ns0:v>12</ns0:v>
      </ns0:c>
      <ns0:c r="O63" s="27" t="n">
        <ns0:f>IF(A63="","",O62+IF(AND(B63="B",F63=1),1,0))</ns0:f>
        <ns0:v>11</ns0:v>
      </ns0:c>
      <ns0:c r="P63" s="28" t="str">
        <ns0:f>IF(A63="","",IF(L63&lt;=0,"B Wins",IF(M63&lt;=0,"A Wins","Ongoing")))</ns0:f>
        <ns0:v>Ongoing</ns0:v>
      </ns0:c>
    </ns0:row>
    <ns0:row r="64" ht="24" customHeight="1" s="4">
      <ns0:c r="A64" s="29" t="n">
        <ns0:f>IF(P63="Ongoing",A63+1,"")</ns0:f>
        <ns0:v>24</ns0:v>
      </ns0:c>
      <ns0:c r="B64" s="30" t="str">
        <ns0:f>IF(A64="","",IF(MOD(A64,2)=1,$B$30,IF($B$30="A","B","A")))</ns0:f>
        <ns0:v>B</ns0:v>
      </ns0:c>
      <ns0:c r="C64" s="29" t="n">
        <ns0:f>IF(A64="","",IF(A64&lt;=2,2,IF(A64&lt;=4,4,5)))</ns0:f>
        <ns0:v>5</ns0:v>
      </ns0:c>
      <ns0:c r="D64" s="29" t="n">
        <ns0:f>IF(A64="","",IF(B64="A",I63,J63))</ns0:f>
        <ns0:v>0</ns0:v>
      </ns0:c>
      <ns0:c r="E64" s="29" t="n">
        <ns0:f>IF(A64="","",IF(B64="A",$B$24,$C$24))</ns0:f>
        <ns0:v>100</ns0:v>
      </ns0:c>
      <ns0:c r="F64" s="29" t="n">
        <ns0:f>IF(A64="","",IF(D64+E64&gt;=IF(B64="A",$B$17,$C$17),MIN(1,C64),0))</ns0:f>
        <ns0:v>1</ns0:v>
      </ns0:c>
      <ns0:c r="G64" s="30" t="str">
        <ns0:f>IF(A64="","",IF(F64=1,"Normal Attack","Pass: insufficient AP"))</ns0:f>
        <ns0:v>Normal Attack</ns0:v>
      </ns0:c>
      <ns0:c r="H64" s="29" t="n">
        <ns0:f>IF(A64="","",IF(F64=1,IF(B64="A",$B$16,$C$16),0))</ns0:f>
        <ns0:v>100</ns0:v>
      </ns0:c>
      <ns0:c r="I64" s="29" t="n">
        <ns0:f>IF(A64="","",I63+IF(B64="A",E64-H64,0))</ns0:f>
        <ns0:v>0</ns0:v>
      </ns0:c>
      <ns0:c r="J64" s="29" t="n">
        <ns0:f>IF(A64="","",J63+IF(B64="B",E64-H64,0))</ns0:f>
        <ns0:v>0</ns0:v>
      </ns0:c>
      <ns0:c r="K64" s="29" t="n">
        <ns0:f>IF(A64="","",IF(F64=1,IF(B64="A",MIN($B$26,M63),MIN($C$26,L63)),0))</ns0:f>
        <ns0:v>1000</ns0:v>
      </ns0:c>
      <ns0:c r="L64" s="29" t="n">
        <ns0:f>IF(A64="","",MAX(0,L63-IF(B64="B",K64,0)))</ns0:f>
        <ns0:v>8000</ns0:v>
      </ns0:c>
      <ns0:c r="M64" s="29" t="n">
        <ns0:f>IF(A64="","",MAX(0,M63-IF(B64="A",K64,0)))</ns0:f>
        <ns0:v>8000</ns0:v>
      </ns0:c>
      <ns0:c r="N64" s="29" t="n">
        <ns0:f>IF(A64="","",N63+IF(AND(B64="A",F64=1),1,0))</ns0:f>
        <ns0:v>12</ns0:v>
      </ns0:c>
      <ns0:c r="O64" s="29" t="n">
        <ns0:f>IF(A64="","",O63+IF(AND(B64="B",F64=1),1,0))</ns0:f>
        <ns0:v>12</ns0:v>
      </ns0:c>
      <ns0:c r="P64" s="30" t="str">
        <ns0:f>IF(A64="","",IF(L64&lt;=0,"B Wins",IF(M64&lt;=0,"A Wins","Ongoing")))</ns0:f>
        <ns0:v>Ongoing</ns0:v>
      </ns0:c>
    </ns0:row>
    <ns0:row r="65" ht="24" customHeight="1" s="4">
      <ns0:c r="A65" s="27" t="n">
        <ns0:f>IF(P64="Ongoing",A64+1,"")</ns0:f>
        <ns0:v>25</ns0:v>
      </ns0:c>
      <ns0:c r="B65" s="28" t="str">
        <ns0:f>IF(A65="","",IF(MOD(A65,2)=1,$B$30,IF($B$30="A","B","A")))</ns0:f>
        <ns0:v>A</ns0:v>
      </ns0:c>
      <ns0:c r="C65" s="27" t="n">
        <ns0:f>IF(A65="","",IF(A65&lt;=2,2,IF(A65&lt;=4,4,5)))</ns0:f>
        <ns0:v>5</ns0:v>
      </ns0:c>
      <ns0:c r="D65" s="27" t="n">
        <ns0:f>IF(A65="","",IF(B65="A",I64,J64))</ns0:f>
        <ns0:v>0</ns0:v>
      </ns0:c>
      <ns0:c r="E65" s="27" t="n">
        <ns0:f>IF(A65="","",IF(B65="A",$B$24,$C$24))</ns0:f>
        <ns0:v>100</ns0:v>
      </ns0:c>
      <ns0:c r="F65" s="27" t="n">
        <ns0:f>IF(A65="","",IF(D65+E65&gt;=IF(B65="A",$B$17,$C$17),MIN(1,C65),0))</ns0:f>
        <ns0:v>1</ns0:v>
      </ns0:c>
      <ns0:c r="G65" s="28" t="str">
        <ns0:f>IF(A65="","",IF(F65=1,"Normal Attack","Pass: insufficient AP"))</ns0:f>
        <ns0:v>Normal Attack</ns0:v>
      </ns0:c>
      <ns0:c r="H65" s="27" t="n">
        <ns0:f>IF(A65="","",IF(F65=1,IF(B65="A",$B$16,$C$16),0))</ns0:f>
        <ns0:v>100</ns0:v>
      </ns0:c>
      <ns0:c r="I65" s="27" t="n">
        <ns0:f>IF(A65="","",I64+IF(B65="A",E65-H65,0))</ns0:f>
        <ns0:v>0</ns0:v>
      </ns0:c>
      <ns0:c r="J65" s="27" t="n">
        <ns0:f>IF(A65="","",J64+IF(B65="B",E65-H65,0))</ns0:f>
        <ns0:v>0</ns0:v>
      </ns0:c>
      <ns0:c r="K65" s="27" t="n">
        <ns0:f>IF(A65="","",IF(F65=1,IF(B65="A",MIN($B$26,M64),MIN($C$26,L64)),0))</ns0:f>
        <ns0:v>1000</ns0:v>
      </ns0:c>
      <ns0:c r="L65" s="27" t="n">
        <ns0:f>IF(A65="","",MAX(0,L64-IF(B65="B",K65,0)))</ns0:f>
        <ns0:v>8000</ns0:v>
      </ns0:c>
      <ns0:c r="M65" s="27" t="n">
        <ns0:f>IF(A65="","",MAX(0,M64-IF(B65="A",K65,0)))</ns0:f>
        <ns0:v>7000</ns0:v>
      </ns0:c>
      <ns0:c r="N65" s="27" t="n">
        <ns0:f>IF(A65="","",N64+IF(AND(B65="A",F65=1),1,0))</ns0:f>
        <ns0:v>13</ns0:v>
      </ns0:c>
      <ns0:c r="O65" s="27" t="n">
        <ns0:f>IF(A65="","",O64+IF(AND(B65="B",F65=1),1,0))</ns0:f>
        <ns0:v>12</ns0:v>
      </ns0:c>
      <ns0:c r="P65" s="28" t="str">
        <ns0:f>IF(A65="","",IF(L65&lt;=0,"B Wins",IF(M65&lt;=0,"A Wins","Ongoing")))</ns0:f>
        <ns0:v>Ongoing</ns0:v>
      </ns0:c>
    </ns0:row>
    <ns0:row r="66" ht="24" customHeight="1" s="4">
      <ns0:c r="A66" s="29" t="n">
        <ns0:f>IF(P65="Ongoing",A65+1,"")</ns0:f>
        <ns0:v>26</ns0:v>
      </ns0:c>
      <ns0:c r="B66" s="30" t="str">
        <ns0:f>IF(A66="","",IF(MOD(A66,2)=1,$B$30,IF($B$30="A","B","A")))</ns0:f>
        <ns0:v>B</ns0:v>
      </ns0:c>
      <ns0:c r="C66" s="29" t="n">
        <ns0:f>IF(A66="","",IF(A66&lt;=2,2,IF(A66&lt;=4,4,5)))</ns0:f>
        <ns0:v>5</ns0:v>
      </ns0:c>
      <ns0:c r="D66" s="29" t="n">
        <ns0:f>IF(A66="","",IF(B66="A",I65,J65))</ns0:f>
        <ns0:v>0</ns0:v>
      </ns0:c>
      <ns0:c r="E66" s="29" t="n">
        <ns0:f>IF(A66="","",IF(B66="A",$B$24,$C$24))</ns0:f>
        <ns0:v>100</ns0:v>
      </ns0:c>
      <ns0:c r="F66" s="29" t="n">
        <ns0:f>IF(A66="","",IF(D66+E66&gt;=IF(B66="A",$B$17,$C$17),MIN(1,C66),0))</ns0:f>
        <ns0:v>1</ns0:v>
      </ns0:c>
      <ns0:c r="G66" s="30" t="str">
        <ns0:f>IF(A66="","",IF(F66=1,"Normal Attack","Pass: insufficient AP"))</ns0:f>
        <ns0:v>Normal Attack</ns0:v>
      </ns0:c>
      <ns0:c r="H66" s="29" t="n">
        <ns0:f>IF(A66="","",IF(F66=1,IF(B66="A",$B$16,$C$16),0))</ns0:f>
        <ns0:v>100</ns0:v>
      </ns0:c>
      <ns0:c r="I66" s="29" t="n">
        <ns0:f>IF(A66="","",I65+IF(B66="A",E66-H66,0))</ns0:f>
        <ns0:v>0</ns0:v>
      </ns0:c>
      <ns0:c r="J66" s="29" t="n">
        <ns0:f>IF(A66="","",J65+IF(B66="B",E66-H66,0))</ns0:f>
        <ns0:v>0</ns0:v>
      </ns0:c>
      <ns0:c r="K66" s="29" t="n">
        <ns0:f>IF(A66="","",IF(F66=1,IF(B66="A",MIN($B$26,M65),MIN($C$26,L65)),0))</ns0:f>
        <ns0:v>1000</ns0:v>
      </ns0:c>
      <ns0:c r="L66" s="29" t="n">
        <ns0:f>IF(A66="","",MAX(0,L65-IF(B66="B",K66,0)))</ns0:f>
        <ns0:v>7000</ns0:v>
      </ns0:c>
      <ns0:c r="M66" s="29" t="n">
        <ns0:f>IF(A66="","",MAX(0,M65-IF(B66="A",K66,0)))</ns0:f>
        <ns0:v>7000</ns0:v>
      </ns0:c>
      <ns0:c r="N66" s="29" t="n">
        <ns0:f>IF(A66="","",N65+IF(AND(B66="A",F66=1),1,0))</ns0:f>
        <ns0:v>13</ns0:v>
      </ns0:c>
      <ns0:c r="O66" s="29" t="n">
        <ns0:f>IF(A66="","",O65+IF(AND(B66="B",F66=1),1,0))</ns0:f>
        <ns0:v>13</ns0:v>
      </ns0:c>
      <ns0:c r="P66" s="30" t="str">
        <ns0:f>IF(A66="","",IF(L66&lt;=0,"B Wins",IF(M66&lt;=0,"A Wins","Ongoing")))</ns0:f>
        <ns0:v>Ongoing</ns0:v>
      </ns0:c>
    </ns0:row>
    <ns0:row r="67" ht="24" customHeight="1" s="4">
      <ns0:c r="A67" s="27" t="n">
        <ns0:f>IF(P66="Ongoing",A66+1,"")</ns0:f>
        <ns0:v>27</ns0:v>
      </ns0:c>
      <ns0:c r="B67" s="28" t="str">
        <ns0:f>IF(A67="","",IF(MOD(A67,2)=1,$B$30,IF($B$30="A","B","A")))</ns0:f>
        <ns0:v>A</ns0:v>
      </ns0:c>
      <ns0:c r="C67" s="27" t="n">
        <ns0:f>IF(A67="","",IF(A67&lt;=2,2,IF(A67&lt;=4,4,5)))</ns0:f>
        <ns0:v>5</ns0:v>
      </ns0:c>
      <ns0:c r="D67" s="27" t="n">
        <ns0:f>IF(A67="","",IF(B67="A",I66,J66))</ns0:f>
        <ns0:v>0</ns0:v>
      </ns0:c>
      <ns0:c r="E67" s="27" t="n">
        <ns0:f>IF(A67="","",IF(B67="A",$B$24,$C$24))</ns0:f>
        <ns0:v>100</ns0:v>
      </ns0:c>
      <ns0:c r="F67" s="27" t="n">
        <ns0:f>IF(A67="","",IF(D67+E67&gt;=IF(B67="A",$B$17,$C$17),MIN(1,C67),0))</ns0:f>
        <ns0:v>1</ns0:v>
      </ns0:c>
      <ns0:c r="G67" s="28" t="str">
        <ns0:f>IF(A67="","",IF(F67=1,"Normal Attack","Pass: insufficient AP"))</ns0:f>
        <ns0:v>Normal Attack</ns0:v>
      </ns0:c>
      <ns0:c r="H67" s="27" t="n">
        <ns0:f>IF(A67="","",IF(F67=1,IF(B67="A",$B$16,$C$16),0))</ns0:f>
        <ns0:v>100</ns0:v>
      </ns0:c>
      <ns0:c r="I67" s="27" t="n">
        <ns0:f>IF(A67="","",I66+IF(B67="A",E67-H67,0))</ns0:f>
        <ns0:v>0</ns0:v>
      </ns0:c>
      <ns0:c r="J67" s="27" t="n">
        <ns0:f>IF(A67="","",J66+IF(B67="B",E67-H67,0))</ns0:f>
        <ns0:v>0</ns0:v>
      </ns0:c>
      <ns0:c r="K67" s="27" t="n">
        <ns0:f>IF(A67="","",IF(F67=1,IF(B67="A",MIN($B$26,M66),MIN($C$26,L66)),0))</ns0:f>
        <ns0:v>1000</ns0:v>
      </ns0:c>
      <ns0:c r="L67" s="27" t="n">
        <ns0:f>IF(A67="","",MAX(0,L66-IF(B67="B",K67,0)))</ns0:f>
        <ns0:v>7000</ns0:v>
      </ns0:c>
      <ns0:c r="M67" s="27" t="n">
        <ns0:f>IF(A67="","",MAX(0,M66-IF(B67="A",K67,0)))</ns0:f>
        <ns0:v>6000</ns0:v>
      </ns0:c>
      <ns0:c r="N67" s="27" t="n">
        <ns0:f>IF(A67="","",N66+IF(AND(B67="A",F67=1),1,0))</ns0:f>
        <ns0:v>14</ns0:v>
      </ns0:c>
      <ns0:c r="O67" s="27" t="n">
        <ns0:f>IF(A67="","",O66+IF(AND(B67="B",F67=1),1,0))</ns0:f>
        <ns0:v>13</ns0:v>
      </ns0:c>
      <ns0:c r="P67" s="28" t="str">
        <ns0:f>IF(A67="","",IF(L67&lt;=0,"B Wins",IF(M67&lt;=0,"A Wins","Ongoing")))</ns0:f>
        <ns0:v>Ongoing</ns0:v>
      </ns0:c>
    </ns0:row>
    <ns0:row r="68" ht="24" customHeight="1" s="4">
      <ns0:c r="A68" s="29" t="n">
        <ns0:f>IF(P67="Ongoing",A67+1,"")</ns0:f>
        <ns0:v>28</ns0:v>
      </ns0:c>
      <ns0:c r="B68" s="30" t="str">
        <ns0:f>IF(A68="","",IF(MOD(A68,2)=1,$B$30,IF($B$30="A","B","A")))</ns0:f>
        <ns0:v>B</ns0:v>
      </ns0:c>
      <ns0:c r="C68" s="29" t="n">
        <ns0:f>IF(A68="","",IF(A68&lt;=2,2,IF(A68&lt;=4,4,5)))</ns0:f>
        <ns0:v>5</ns0:v>
      </ns0:c>
      <ns0:c r="D68" s="29" t="n">
        <ns0:f>IF(A68="","",IF(B68="A",I67,J67))</ns0:f>
        <ns0:v>0</ns0:v>
      </ns0:c>
      <ns0:c r="E68" s="29" t="n">
        <ns0:f>IF(A68="","",IF(B68="A",$B$24,$C$24))</ns0:f>
        <ns0:v>100</ns0:v>
      </ns0:c>
      <ns0:c r="F68" s="29" t="n">
        <ns0:f>IF(A68="","",IF(D68+E68&gt;=IF(B68="A",$B$17,$C$17),MIN(1,C68),0))</ns0:f>
        <ns0:v>1</ns0:v>
      </ns0:c>
      <ns0:c r="G68" s="30" t="str">
        <ns0:f>IF(A68="","",IF(F68=1,"Normal Attack","Pass: insufficient AP"))</ns0:f>
        <ns0:v>Normal Attack</ns0:v>
      </ns0:c>
      <ns0:c r="H68" s="29" t="n">
        <ns0:f>IF(A68="","",IF(F68=1,IF(B68="A",$B$16,$C$16),0))</ns0:f>
        <ns0:v>100</ns0:v>
      </ns0:c>
      <ns0:c r="I68" s="29" t="n">
        <ns0:f>IF(A68="","",I67+IF(B68="A",E68-H68,0))</ns0:f>
        <ns0:v>0</ns0:v>
      </ns0:c>
      <ns0:c r="J68" s="29" t="n">
        <ns0:f>IF(A68="","",J67+IF(B68="B",E68-H68,0))</ns0:f>
        <ns0:v>0</ns0:v>
      </ns0:c>
      <ns0:c r="K68" s="29" t="n">
        <ns0:f>IF(A68="","",IF(F68=1,IF(B68="A",MIN($B$26,M67),MIN($C$26,L67)),0))</ns0:f>
        <ns0:v>1000</ns0:v>
      </ns0:c>
      <ns0:c r="L68" s="29" t="n">
        <ns0:f>IF(A68="","",MAX(0,L67-IF(B68="B",K68,0)))</ns0:f>
        <ns0:v>6000</ns0:v>
      </ns0:c>
      <ns0:c r="M68" s="29" t="n">
        <ns0:f>IF(A68="","",MAX(0,M67-IF(B68="A",K68,0)))</ns0:f>
        <ns0:v>6000</ns0:v>
      </ns0:c>
      <ns0:c r="N68" s="29" t="n">
        <ns0:f>IF(A68="","",N67+IF(AND(B68="A",F68=1),1,0))</ns0:f>
        <ns0:v>14</ns0:v>
      </ns0:c>
      <ns0:c r="O68" s="29" t="n">
        <ns0:f>IF(A68="","",O67+IF(AND(B68="B",F68=1),1,0))</ns0:f>
        <ns0:v>14</ns0:v>
      </ns0:c>
      <ns0:c r="P68" s="30" t="str">
        <ns0:f>IF(A68="","",IF(L68&lt;=0,"B Wins",IF(M68&lt;=0,"A Wins","Ongoing")))</ns0:f>
        <ns0:v>Ongoing</ns0:v>
      </ns0:c>
    </ns0:row>
    <ns0:row r="69" ht="24" customHeight="1" s="4">
      <ns0:c r="A69" s="27" t="n">
        <ns0:f>IF(P68="Ongoing",A68+1,"")</ns0:f>
        <ns0:v>29</ns0:v>
      </ns0:c>
      <ns0:c r="B69" s="28" t="str">
        <ns0:f>IF(A69="","",IF(MOD(A69,2)=1,$B$30,IF($B$30="A","B","A")))</ns0:f>
        <ns0:v>A</ns0:v>
      </ns0:c>
      <ns0:c r="C69" s="27" t="n">
        <ns0:f>IF(A69="","",IF(A69&lt;=2,2,IF(A69&lt;=4,4,5)))</ns0:f>
        <ns0:v>5</ns0:v>
      </ns0:c>
      <ns0:c r="D69" s="27" t="n">
        <ns0:f>IF(A69="","",IF(B69="A",I68,J68))</ns0:f>
        <ns0:v>0</ns0:v>
      </ns0:c>
      <ns0:c r="E69" s="27" t="n">
        <ns0:f>IF(A69="","",IF(B69="A",$B$24,$C$24))</ns0:f>
        <ns0:v>100</ns0:v>
      </ns0:c>
      <ns0:c r="F69" s="27" t="n">
        <ns0:f>IF(A69="","",IF(D69+E69&gt;=IF(B69="A",$B$17,$C$17),MIN(1,C69),0))</ns0:f>
        <ns0:v>1</ns0:v>
      </ns0:c>
      <ns0:c r="G69" s="28" t="str">
        <ns0:f>IF(A69="","",IF(F69=1,"Normal Attack","Pass: insufficient AP"))</ns0:f>
        <ns0:v>Normal Attack</ns0:v>
      </ns0:c>
      <ns0:c r="H69" s="27" t="n">
        <ns0:f>IF(A69="","",IF(F69=1,IF(B69="A",$B$16,$C$16),0))</ns0:f>
        <ns0:v>100</ns0:v>
      </ns0:c>
      <ns0:c r="I69" s="27" t="n">
        <ns0:f>IF(A69="","",I68+IF(B69="A",E69-H69,0))</ns0:f>
        <ns0:v>0</ns0:v>
      </ns0:c>
      <ns0:c r="J69" s="27" t="n">
        <ns0:f>IF(A69="","",J68+IF(B69="B",E69-H69,0))</ns0:f>
        <ns0:v>0</ns0:v>
      </ns0:c>
      <ns0:c r="K69" s="27" t="n">
        <ns0:f>IF(A69="","",IF(F69=1,IF(B69="A",MIN($B$26,M68),MIN($C$26,L68)),0))</ns0:f>
        <ns0:v>1000</ns0:v>
      </ns0:c>
      <ns0:c r="L69" s="27" t="n">
        <ns0:f>IF(A69="","",MAX(0,L68-IF(B69="B",K69,0)))</ns0:f>
        <ns0:v>6000</ns0:v>
      </ns0:c>
      <ns0:c r="M69" s="27" t="n">
        <ns0:f>IF(A69="","",MAX(0,M68-IF(B69="A",K69,0)))</ns0:f>
        <ns0:v>5000</ns0:v>
      </ns0:c>
      <ns0:c r="N69" s="27" t="n">
        <ns0:f>IF(A69="","",N68+IF(AND(B69="A",F69=1),1,0))</ns0:f>
        <ns0:v>15</ns0:v>
      </ns0:c>
      <ns0:c r="O69" s="27" t="n">
        <ns0:f>IF(A69="","",O68+IF(AND(B69="B",F69=1),1,0))</ns0:f>
        <ns0:v>14</ns0:v>
      </ns0:c>
      <ns0:c r="P69" s="28" t="str">
        <ns0:f>IF(A69="","",IF(L69&lt;=0,"B Wins",IF(M69&lt;=0,"A Wins","Ongoing")))</ns0:f>
        <ns0:v>Ongoing</ns0:v>
      </ns0:c>
    </ns0:row>
    <ns0:row r="70" ht="24" customHeight="1" s="4">
      <ns0:c r="A70" s="29" t="n">
        <ns0:f>IF(P69="Ongoing",A69+1,"")</ns0:f>
        <ns0:v>30</ns0:v>
      </ns0:c>
      <ns0:c r="B70" s="30" t="str">
        <ns0:f>IF(A70="","",IF(MOD(A70,2)=1,$B$30,IF($B$30="A","B","A")))</ns0:f>
        <ns0:v>B</ns0:v>
      </ns0:c>
      <ns0:c r="C70" s="29" t="n">
        <ns0:f>IF(A70="","",IF(A70&lt;=2,2,IF(A70&lt;=4,4,5)))</ns0:f>
        <ns0:v>5</ns0:v>
      </ns0:c>
      <ns0:c r="D70" s="29" t="n">
        <ns0:f>IF(A70="","",IF(B70="A",I69,J69))</ns0:f>
        <ns0:v>0</ns0:v>
      </ns0:c>
      <ns0:c r="E70" s="29" t="n">
        <ns0:f>IF(A70="","",IF(B70="A",$B$24,$C$24))</ns0:f>
        <ns0:v>100</ns0:v>
      </ns0:c>
      <ns0:c r="F70" s="29" t="n">
        <ns0:f>IF(A70="","",IF(D70+E70&gt;=IF(B70="A",$B$17,$C$17),MIN(1,C70),0))</ns0:f>
        <ns0:v>1</ns0:v>
      </ns0:c>
      <ns0:c r="G70" s="30" t="str">
        <ns0:f>IF(A70="","",IF(F70=1,"Normal Attack","Pass: insufficient AP"))</ns0:f>
        <ns0:v>Normal Attack</ns0:v>
      </ns0:c>
      <ns0:c r="H70" s="29" t="n">
        <ns0:f>IF(A70="","",IF(F70=1,IF(B70="A",$B$16,$C$16),0))</ns0:f>
        <ns0:v>100</ns0:v>
      </ns0:c>
      <ns0:c r="I70" s="29" t="n">
        <ns0:f>IF(A70="","",I69+IF(B70="A",E70-H70,0))</ns0:f>
        <ns0:v>0</ns0:v>
      </ns0:c>
      <ns0:c r="J70" s="29" t="n">
        <ns0:f>IF(A70="","",J69+IF(B70="B",E70-H70,0))</ns0:f>
        <ns0:v>0</ns0:v>
      </ns0:c>
      <ns0:c r="K70" s="29" t="n">
        <ns0:f>IF(A70="","",IF(F70=1,IF(B70="A",MIN($B$26,M69),MIN($C$26,L69)),0))</ns0:f>
        <ns0:v>1000</ns0:v>
      </ns0:c>
      <ns0:c r="L70" s="29" t="n">
        <ns0:f>IF(A70="","",MAX(0,L69-IF(B70="B",K70,0)))</ns0:f>
        <ns0:v>5000</ns0:v>
      </ns0:c>
      <ns0:c r="M70" s="29" t="n">
        <ns0:f>IF(A70="","",MAX(0,M69-IF(B70="A",K70,0)))</ns0:f>
        <ns0:v>5000</ns0:v>
      </ns0:c>
      <ns0:c r="N70" s="29" t="n">
        <ns0:f>IF(A70="","",N69+IF(AND(B70="A",F70=1),1,0))</ns0:f>
        <ns0:v>15</ns0:v>
      </ns0:c>
      <ns0:c r="O70" s="29" t="n">
        <ns0:f>IF(A70="","",O69+IF(AND(B70="B",F70=1),1,0))</ns0:f>
        <ns0:v>15</ns0:v>
      </ns0:c>
      <ns0:c r="P70" s="30" t="str">
        <ns0:f>IF(A70="","",IF(L70&lt;=0,"B Wins",IF(M70&lt;=0,"A Wins","Ongoing")))</ns0:f>
        <ns0:v>Ongoing</ns0:v>
      </ns0:c>
    </ns0:row>
    <ns0:row r="71" ht="24" customHeight="1" s="4">
      <ns0:c r="A71" s="27" t="n">
        <ns0:f>IF(P70="Ongoing",A70+1,"")</ns0:f>
        <ns0:v>31</ns0:v>
      </ns0:c>
      <ns0:c r="B71" s="28" t="str">
        <ns0:f>IF(A71="","",IF(MOD(A71,2)=1,$B$30,IF($B$30="A","B","A")))</ns0:f>
        <ns0:v>A</ns0:v>
      </ns0:c>
      <ns0:c r="C71" s="27" t="n">
        <ns0:f>IF(A71="","",IF(A71&lt;=2,2,IF(A71&lt;=4,4,5)))</ns0:f>
        <ns0:v>5</ns0:v>
      </ns0:c>
      <ns0:c r="D71" s="27" t="n">
        <ns0:f>IF(A71="","",IF(B71="A",I70,J70))</ns0:f>
        <ns0:v>0</ns0:v>
      </ns0:c>
      <ns0:c r="E71" s="27" t="n">
        <ns0:f>IF(A71="","",IF(B71="A",$B$24,$C$24))</ns0:f>
        <ns0:v>100</ns0:v>
      </ns0:c>
      <ns0:c r="F71" s="27" t="n">
        <ns0:f>IF(A71="","",IF(D71+E71&gt;=IF(B71="A",$B$17,$C$17),MIN(1,C71),0))</ns0:f>
        <ns0:v>1</ns0:v>
      </ns0:c>
      <ns0:c r="G71" s="28" t="str">
        <ns0:f>IF(A71="","",IF(F71=1,"Normal Attack","Pass: insufficient AP"))</ns0:f>
        <ns0:v>Normal Attack</ns0:v>
      </ns0:c>
      <ns0:c r="H71" s="27" t="n">
        <ns0:f>IF(A71="","",IF(F71=1,IF(B71="A",$B$16,$C$16),0))</ns0:f>
        <ns0:v>100</ns0:v>
      </ns0:c>
      <ns0:c r="I71" s="27" t="n">
        <ns0:f>IF(A71="","",I70+IF(B71="A",E71-H71,0))</ns0:f>
        <ns0:v>0</ns0:v>
      </ns0:c>
      <ns0:c r="J71" s="27" t="n">
        <ns0:f>IF(A71="","",J70+IF(B71="B",E71-H71,0))</ns0:f>
        <ns0:v>0</ns0:v>
      </ns0:c>
      <ns0:c r="K71" s="27" t="n">
        <ns0:f>IF(A71="","",IF(F71=1,IF(B71="A",MIN($B$26,M70),MIN($C$26,L70)),0))</ns0:f>
        <ns0:v>1000</ns0:v>
      </ns0:c>
      <ns0:c r="L71" s="27" t="n">
        <ns0:f>IF(A71="","",MAX(0,L70-IF(B71="B",K71,0)))</ns0:f>
        <ns0:v>5000</ns0:v>
      </ns0:c>
      <ns0:c r="M71" s="27" t="n">
        <ns0:f>IF(A71="","",MAX(0,M70-IF(B71="A",K71,0)))</ns0:f>
        <ns0:v>4000</ns0:v>
      </ns0:c>
      <ns0:c r="N71" s="27" t="n">
        <ns0:f>IF(A71="","",N70+IF(AND(B71="A",F71=1),1,0))</ns0:f>
        <ns0:v>16</ns0:v>
      </ns0:c>
      <ns0:c r="O71" s="27" t="n">
        <ns0:f>IF(A71="","",O70+IF(AND(B71="B",F71=1),1,0))</ns0:f>
        <ns0:v>15</ns0:v>
      </ns0:c>
      <ns0:c r="P71" s="28" t="str">
        <ns0:f>IF(A71="","",IF(L71&lt;=0,"B Wins",IF(M71&lt;=0,"A Wins","Ongoing")))</ns0:f>
        <ns0:v>Ongoing</ns0:v>
      </ns0:c>
    </ns0:row>
    <ns0:row r="72" ht="24" customHeight="1" s="4">
      <ns0:c r="A72" s="29" t="n">
        <ns0:f>IF(P71="Ongoing",A71+1,"")</ns0:f>
        <ns0:v>32</ns0:v>
      </ns0:c>
      <ns0:c r="B72" s="30" t="str">
        <ns0:f>IF(A72="","",IF(MOD(A72,2)=1,$B$30,IF($B$30="A","B","A")))</ns0:f>
        <ns0:v>B</ns0:v>
      </ns0:c>
      <ns0:c r="C72" s="29" t="n">
        <ns0:f>IF(A72="","",IF(A72&lt;=2,2,IF(A72&lt;=4,4,5)))</ns0:f>
        <ns0:v>5</ns0:v>
      </ns0:c>
      <ns0:c r="D72" s="29" t="n">
        <ns0:f>IF(A72="","",IF(B72="A",I71,J71))</ns0:f>
        <ns0:v>0</ns0:v>
      </ns0:c>
      <ns0:c r="E72" s="29" t="n">
        <ns0:f>IF(A72="","",IF(B72="A",$B$24,$C$24))</ns0:f>
        <ns0:v>100</ns0:v>
      </ns0:c>
      <ns0:c r="F72" s="29" t="n">
        <ns0:f>IF(A72="","",IF(D72+E72&gt;=IF(B72="A",$B$17,$C$17),MIN(1,C72),0))</ns0:f>
        <ns0:v>1</ns0:v>
      </ns0:c>
      <ns0:c r="G72" s="30" t="str">
        <ns0:f>IF(A72="","",IF(F72=1,"Normal Attack","Pass: insufficient AP"))</ns0:f>
        <ns0:v>Normal Attack</ns0:v>
      </ns0:c>
      <ns0:c r="H72" s="29" t="n">
        <ns0:f>IF(A72="","",IF(F72=1,IF(B72="A",$B$16,$C$16),0))</ns0:f>
        <ns0:v>100</ns0:v>
      </ns0:c>
      <ns0:c r="I72" s="29" t="n">
        <ns0:f>IF(A72="","",I71+IF(B72="A",E72-H72,0))</ns0:f>
        <ns0:v>0</ns0:v>
      </ns0:c>
      <ns0:c r="J72" s="29" t="n">
        <ns0:f>IF(A72="","",J71+IF(B72="B",E72-H72,0))</ns0:f>
        <ns0:v>0</ns0:v>
      </ns0:c>
      <ns0:c r="K72" s="29" t="n">
        <ns0:f>IF(A72="","",IF(F72=1,IF(B72="A",MIN($B$26,M71),MIN($C$26,L71)),0))</ns0:f>
        <ns0:v>1000</ns0:v>
      </ns0:c>
      <ns0:c r="L72" s="29" t="n">
        <ns0:f>IF(A72="","",MAX(0,L71-IF(B72="B",K72,0)))</ns0:f>
        <ns0:v>4000</ns0:v>
      </ns0:c>
      <ns0:c r="M72" s="29" t="n">
        <ns0:f>IF(A72="","",MAX(0,M71-IF(B72="A",K72,0)))</ns0:f>
        <ns0:v>4000</ns0:v>
      </ns0:c>
      <ns0:c r="N72" s="29" t="n">
        <ns0:f>IF(A72="","",N71+IF(AND(B72="A",F72=1),1,0))</ns0:f>
        <ns0:v>16</ns0:v>
      </ns0:c>
      <ns0:c r="O72" s="29" t="n">
        <ns0:f>IF(A72="","",O71+IF(AND(B72="B",F72=1),1,0))</ns0:f>
        <ns0:v>16</ns0:v>
      </ns0:c>
      <ns0:c r="P72" s="30" t="str">
        <ns0:f>IF(A72="","",IF(L72&lt;=0,"B Wins",IF(M72&lt;=0,"A Wins","Ongoing")))</ns0:f>
        <ns0:v>Ongoing</ns0:v>
      </ns0:c>
    </ns0:row>
    <ns0:row r="73" ht="24" customHeight="1" s="4">
      <ns0:c r="A73" s="27" t="n">
        <ns0:f>IF(P72="Ongoing",A72+1,"")</ns0:f>
        <ns0:v>33</ns0:v>
      </ns0:c>
      <ns0:c r="B73" s="28" t="str">
        <ns0:f>IF(A73="","",IF(MOD(A73,2)=1,$B$30,IF($B$30="A","B","A")))</ns0:f>
        <ns0:v>A</ns0:v>
      </ns0:c>
      <ns0:c r="C73" s="27" t="n">
        <ns0:f>IF(A73="","",IF(A73&lt;=2,2,IF(A73&lt;=4,4,5)))</ns0:f>
        <ns0:v>5</ns0:v>
      </ns0:c>
      <ns0:c r="D73" s="27" t="n">
        <ns0:f>IF(A73="","",IF(B73="A",I72,J72))</ns0:f>
        <ns0:v>0</ns0:v>
      </ns0:c>
      <ns0:c r="E73" s="27" t="n">
        <ns0:f>IF(A73="","",IF(B73="A",$B$24,$C$24))</ns0:f>
        <ns0:v>100</ns0:v>
      </ns0:c>
      <ns0:c r="F73" s="27" t="n">
        <ns0:f>IF(A73="","",IF(D73+E73&gt;=IF(B73="A",$B$17,$C$17),MIN(1,C73),0))</ns0:f>
        <ns0:v>1</ns0:v>
      </ns0:c>
      <ns0:c r="G73" s="28" t="str">
        <ns0:f>IF(A73="","",IF(F73=1,"Normal Attack","Pass: insufficient AP"))</ns0:f>
        <ns0:v>Normal Attack</ns0:v>
      </ns0:c>
      <ns0:c r="H73" s="27" t="n">
        <ns0:f>IF(A73="","",IF(F73=1,IF(B73="A",$B$16,$C$16),0))</ns0:f>
        <ns0:v>100</ns0:v>
      </ns0:c>
      <ns0:c r="I73" s="27" t="n">
        <ns0:f>IF(A73="","",I72+IF(B73="A",E73-H73,0))</ns0:f>
        <ns0:v>0</ns0:v>
      </ns0:c>
      <ns0:c r="J73" s="27" t="n">
        <ns0:f>IF(A73="","",J72+IF(B73="B",E73-H73,0))</ns0:f>
        <ns0:v>0</ns0:v>
      </ns0:c>
      <ns0:c r="K73" s="27" t="n">
        <ns0:f>IF(A73="","",IF(F73=1,IF(B73="A",MIN($B$26,M72),MIN($C$26,L72)),0))</ns0:f>
        <ns0:v>1000</ns0:v>
      </ns0:c>
      <ns0:c r="L73" s="27" t="n">
        <ns0:f>IF(A73="","",MAX(0,L72-IF(B73="B",K73,0)))</ns0:f>
        <ns0:v>4000</ns0:v>
      </ns0:c>
      <ns0:c r="M73" s="27" t="n">
        <ns0:f>IF(A73="","",MAX(0,M72-IF(B73="A",K73,0)))</ns0:f>
        <ns0:v>3000</ns0:v>
      </ns0:c>
      <ns0:c r="N73" s="27" t="n">
        <ns0:f>IF(A73="","",N72+IF(AND(B73="A",F73=1),1,0))</ns0:f>
        <ns0:v>17</ns0:v>
      </ns0:c>
      <ns0:c r="O73" s="27" t="n">
        <ns0:f>IF(A73="","",O72+IF(AND(B73="B",F73=1),1,0))</ns0:f>
        <ns0:v>16</ns0:v>
      </ns0:c>
      <ns0:c r="P73" s="28" t="str">
        <ns0:f>IF(A73="","",IF(L73&lt;=0,"B Wins",IF(M73&lt;=0,"A Wins","Ongoing")))</ns0:f>
        <ns0:v>Ongoing</ns0:v>
      </ns0:c>
    </ns0:row>
    <ns0:row r="74" ht="24" customHeight="1" s="4">
      <ns0:c r="A74" s="29" t="n">
        <ns0:f>IF(P73="Ongoing",A73+1,"")</ns0:f>
        <ns0:v>34</ns0:v>
      </ns0:c>
      <ns0:c r="B74" s="30" t="str">
        <ns0:f>IF(A74="","",IF(MOD(A74,2)=1,$B$30,IF($B$30="A","B","A")))</ns0:f>
        <ns0:v>B</ns0:v>
      </ns0:c>
      <ns0:c r="C74" s="29" t="n">
        <ns0:f>IF(A74="","",IF(A74&lt;=2,2,IF(A74&lt;=4,4,5)))</ns0:f>
        <ns0:v>5</ns0:v>
      </ns0:c>
      <ns0:c r="D74" s="29" t="n">
        <ns0:f>IF(A74="","",IF(B74="A",I73,J73))</ns0:f>
        <ns0:v>0</ns0:v>
      </ns0:c>
      <ns0:c r="E74" s="29" t="n">
        <ns0:f>IF(A74="","",IF(B74="A",$B$24,$C$24))</ns0:f>
        <ns0:v>100</ns0:v>
      </ns0:c>
      <ns0:c r="F74" s="29" t="n">
        <ns0:f>IF(A74="","",IF(D74+E74&gt;=IF(B74="A",$B$17,$C$17),MIN(1,C74),0))</ns0:f>
        <ns0:v>1</ns0:v>
      </ns0:c>
      <ns0:c r="G74" s="30" t="str">
        <ns0:f>IF(A74="","",IF(F74=1,"Normal Attack","Pass: insufficient AP"))</ns0:f>
        <ns0:v>Normal Attack</ns0:v>
      </ns0:c>
      <ns0:c r="H74" s="29" t="n">
        <ns0:f>IF(A74="","",IF(F74=1,IF(B74="A",$B$16,$C$16),0))</ns0:f>
        <ns0:v>100</ns0:v>
      </ns0:c>
      <ns0:c r="I74" s="29" t="n">
        <ns0:f>IF(A74="","",I73+IF(B74="A",E74-H74,0))</ns0:f>
        <ns0:v>0</ns0:v>
      </ns0:c>
      <ns0:c r="J74" s="29" t="n">
        <ns0:f>IF(A74="","",J73+IF(B74="B",E74-H74,0))</ns0:f>
        <ns0:v>0</ns0:v>
      </ns0:c>
      <ns0:c r="K74" s="29" t="n">
        <ns0:f>IF(A74="","",IF(F74=1,IF(B74="A",MIN($B$26,M73),MIN($C$26,L73)),0))</ns0:f>
        <ns0:v>1000</ns0:v>
      </ns0:c>
      <ns0:c r="L74" s="29" t="n">
        <ns0:f>IF(A74="","",MAX(0,L73-IF(B74="B",K74,0)))</ns0:f>
        <ns0:v>3000</ns0:v>
      </ns0:c>
      <ns0:c r="M74" s="29" t="n">
        <ns0:f>IF(A74="","",MAX(0,M73-IF(B74="A",K74,0)))</ns0:f>
        <ns0:v>3000</ns0:v>
      </ns0:c>
      <ns0:c r="N74" s="29" t="n">
        <ns0:f>IF(A74="","",N73+IF(AND(B74="A",F74=1),1,0))</ns0:f>
        <ns0:v>17</ns0:v>
      </ns0:c>
      <ns0:c r="O74" s="29" t="n">
        <ns0:f>IF(A74="","",O73+IF(AND(B74="B",F74=1),1,0))</ns0:f>
        <ns0:v>17</ns0:v>
      </ns0:c>
      <ns0:c r="P74" s="30" t="str">
        <ns0:f>IF(A74="","",IF(L74&lt;=0,"B Wins",IF(M74&lt;=0,"A Wins","Ongoing")))</ns0:f>
        <ns0:v>Ongoing</ns0:v>
      </ns0:c>
    </ns0:row>
    <ns0:row r="75" ht="24" customHeight="1" s="4">
      <ns0:c r="A75" s="27" t="n">
        <ns0:f>IF(P74="Ongoing",A74+1,"")</ns0:f>
        <ns0:v>35</ns0:v>
      </ns0:c>
      <ns0:c r="B75" s="28" t="str">
        <ns0:f>IF(A75="","",IF(MOD(A75,2)=1,$B$30,IF($B$30="A","B","A")))</ns0:f>
        <ns0:v>A</ns0:v>
      </ns0:c>
      <ns0:c r="C75" s="27" t="n">
        <ns0:f>IF(A75="","",IF(A75&lt;=2,2,IF(A75&lt;=4,4,5)))</ns0:f>
        <ns0:v>5</ns0:v>
      </ns0:c>
      <ns0:c r="D75" s="27" t="n">
        <ns0:f>IF(A75="","",IF(B75="A",I74,J74))</ns0:f>
        <ns0:v>0</ns0:v>
      </ns0:c>
      <ns0:c r="E75" s="27" t="n">
        <ns0:f>IF(A75="","",IF(B75="A",$B$24,$C$24))</ns0:f>
        <ns0:v>100</ns0:v>
      </ns0:c>
      <ns0:c r="F75" s="27" t="n">
        <ns0:f>IF(A75="","",IF(D75+E75&gt;=IF(B75="A",$B$17,$C$17),MIN(1,C75),0))</ns0:f>
        <ns0:v>1</ns0:v>
      </ns0:c>
      <ns0:c r="G75" s="28" t="str">
        <ns0:f>IF(A75="","",IF(F75=1,"Normal Attack","Pass: insufficient AP"))</ns0:f>
        <ns0:v>Normal Attack</ns0:v>
      </ns0:c>
      <ns0:c r="H75" s="27" t="n">
        <ns0:f>IF(A75="","",IF(F75=1,IF(B75="A",$B$16,$C$16),0))</ns0:f>
        <ns0:v>100</ns0:v>
      </ns0:c>
      <ns0:c r="I75" s="27" t="n">
        <ns0:f>IF(A75="","",I74+IF(B75="A",E75-H75,0))</ns0:f>
        <ns0:v>0</ns0:v>
      </ns0:c>
      <ns0:c r="J75" s="27" t="n">
        <ns0:f>IF(A75="","",J74+IF(B75="B",E75-H75,0))</ns0:f>
        <ns0:v>0</ns0:v>
      </ns0:c>
      <ns0:c r="K75" s="27" t="n">
        <ns0:f>IF(A75="","",IF(F75=1,IF(B75="A",MIN($B$26,M74),MIN($C$26,L74)),0))</ns0:f>
        <ns0:v>1000</ns0:v>
      </ns0:c>
      <ns0:c r="L75" s="27" t="n">
        <ns0:f>IF(A75="","",MAX(0,L74-IF(B75="B",K75,0)))</ns0:f>
        <ns0:v>3000</ns0:v>
      </ns0:c>
      <ns0:c r="M75" s="27" t="n">
        <ns0:f>IF(A75="","",MAX(0,M74-IF(B75="A",K75,0)))</ns0:f>
        <ns0:v>2000</ns0:v>
      </ns0:c>
      <ns0:c r="N75" s="27" t="n">
        <ns0:f>IF(A75="","",N74+IF(AND(B75="A",F75=1),1,0))</ns0:f>
        <ns0:v>18</ns0:v>
      </ns0:c>
      <ns0:c r="O75" s="27" t="n">
        <ns0:f>IF(A75="","",O74+IF(AND(B75="B",F75=1),1,0))</ns0:f>
        <ns0:v>17</ns0:v>
      </ns0:c>
      <ns0:c r="P75" s="28" t="str">
        <ns0:f>IF(A75="","",IF(L75&lt;=0,"B Wins",IF(M75&lt;=0,"A Wins","Ongoing")))</ns0:f>
        <ns0:v>Ongoing</ns0:v>
      </ns0:c>
    </ns0:row>
    <ns0:row r="76" ht="24" customHeight="1" s="4">
      <ns0:c r="A76" s="29" t="n">
        <ns0:f>IF(P75="Ongoing",A75+1,"")</ns0:f>
        <ns0:v>36</ns0:v>
      </ns0:c>
      <ns0:c r="B76" s="30" t="str">
        <ns0:f>IF(A76="","",IF(MOD(A76,2)=1,$B$30,IF($B$30="A","B","A")))</ns0:f>
        <ns0:v>B</ns0:v>
      </ns0:c>
      <ns0:c r="C76" s="29" t="n">
        <ns0:f>IF(A76="","",IF(A76&lt;=2,2,IF(A76&lt;=4,4,5)))</ns0:f>
        <ns0:v>5</ns0:v>
      </ns0:c>
      <ns0:c r="D76" s="29" t="n">
        <ns0:f>IF(A76="","",IF(B76="A",I75,J75))</ns0:f>
        <ns0:v>0</ns0:v>
      </ns0:c>
      <ns0:c r="E76" s="29" t="n">
        <ns0:f>IF(A76="","",IF(B76="A",$B$24,$C$24))</ns0:f>
        <ns0:v>100</ns0:v>
      </ns0:c>
      <ns0:c r="F76" s="29" t="n">
        <ns0:f>IF(A76="","",IF(D76+E76&gt;=IF(B76="A",$B$17,$C$17),MIN(1,C76),0))</ns0:f>
        <ns0:v>1</ns0:v>
      </ns0:c>
      <ns0:c r="G76" s="30" t="str">
        <ns0:f>IF(A76="","",IF(F76=1,"Normal Attack","Pass: insufficient AP"))</ns0:f>
        <ns0:v>Normal Attack</ns0:v>
      </ns0:c>
      <ns0:c r="H76" s="29" t="n">
        <ns0:f>IF(A76="","",IF(F76=1,IF(B76="A",$B$16,$C$16),0))</ns0:f>
        <ns0:v>100</ns0:v>
      </ns0:c>
      <ns0:c r="I76" s="29" t="n">
        <ns0:f>IF(A76="","",I75+IF(B76="A",E76-H76,0))</ns0:f>
        <ns0:v>0</ns0:v>
      </ns0:c>
      <ns0:c r="J76" s="29" t="n">
        <ns0:f>IF(A76="","",J75+IF(B76="B",E76-H76,0))</ns0:f>
        <ns0:v>0</ns0:v>
      </ns0:c>
      <ns0:c r="K76" s="29" t="n">
        <ns0:f>IF(A76="","",IF(F76=1,IF(B76="A",MIN($B$26,M75),MIN($C$26,L75)),0))</ns0:f>
        <ns0:v>1000</ns0:v>
      </ns0:c>
      <ns0:c r="L76" s="29" t="n">
        <ns0:f>IF(A76="","",MAX(0,L75-IF(B76="B",K76,0)))</ns0:f>
        <ns0:v>2000</ns0:v>
      </ns0:c>
      <ns0:c r="M76" s="29" t="n">
        <ns0:f>IF(A76="","",MAX(0,M75-IF(B76="A",K76,0)))</ns0:f>
        <ns0:v>2000</ns0:v>
      </ns0:c>
      <ns0:c r="N76" s="29" t="n">
        <ns0:f>IF(A76="","",N75+IF(AND(B76="A",F76=1),1,0))</ns0:f>
        <ns0:v>18</ns0:v>
      </ns0:c>
      <ns0:c r="O76" s="29" t="n">
        <ns0:f>IF(A76="","",O75+IF(AND(B76="B",F76=1),1,0))</ns0:f>
        <ns0:v>18</ns0:v>
      </ns0:c>
      <ns0:c r="P76" s="30" t="str">
        <ns0:f>IF(A76="","",IF(L76&lt;=0,"B Wins",IF(M76&lt;=0,"A Wins","Ongoing")))</ns0:f>
        <ns0:v>Ongoing</ns0:v>
      </ns0:c>
    </ns0:row>
    <ns0:row r="77" ht="24" customHeight="1" s="4">
      <ns0:c r="A77" s="27" t="n">
        <ns0:f>IF(P76="Ongoing",A76+1,"")</ns0:f>
        <ns0:v>37</ns0:v>
      </ns0:c>
      <ns0:c r="B77" s="28" t="str">
        <ns0:f>IF(A77="","",IF(MOD(A77,2)=1,$B$30,IF($B$30="A","B","A")))</ns0:f>
        <ns0:v>A</ns0:v>
      </ns0:c>
      <ns0:c r="C77" s="27" t="n">
        <ns0:f>IF(A77="","",IF(A77&lt;=2,2,IF(A77&lt;=4,4,5)))</ns0:f>
        <ns0:v>5</ns0:v>
      </ns0:c>
      <ns0:c r="D77" s="27" t="n">
        <ns0:f>IF(A77="","",IF(B77="A",I76,J76))</ns0:f>
        <ns0:v>0</ns0:v>
      </ns0:c>
      <ns0:c r="E77" s="27" t="n">
        <ns0:f>IF(A77="","",IF(B77="A",$B$24,$C$24))</ns0:f>
        <ns0:v>100</ns0:v>
      </ns0:c>
      <ns0:c r="F77" s="27" t="n">
        <ns0:f>IF(A77="","",IF(D77+E77&gt;=IF(B77="A",$B$17,$C$17),MIN(1,C77),0))</ns0:f>
        <ns0:v>1</ns0:v>
      </ns0:c>
      <ns0:c r="G77" s="28" t="str">
        <ns0:f>IF(A77="","",IF(F77=1,"Normal Attack","Pass: insufficient AP"))</ns0:f>
        <ns0:v>Normal Attack</ns0:v>
      </ns0:c>
      <ns0:c r="H77" s="27" t="n">
        <ns0:f>IF(A77="","",IF(F77=1,IF(B77="A",$B$16,$C$16),0))</ns0:f>
        <ns0:v>100</ns0:v>
      </ns0:c>
      <ns0:c r="I77" s="27" t="n">
        <ns0:f>IF(A77="","",I76+IF(B77="A",E77-H77,0))</ns0:f>
        <ns0:v>0</ns0:v>
      </ns0:c>
      <ns0:c r="J77" s="27" t="n">
        <ns0:f>IF(A77="","",J76+IF(B77="B",E77-H77,0))</ns0:f>
        <ns0:v>0</ns0:v>
      </ns0:c>
      <ns0:c r="K77" s="27" t="n">
        <ns0:f>IF(A77="","",IF(F77=1,IF(B77="A",MIN($B$26,M76),MIN($C$26,L76)),0))</ns0:f>
        <ns0:v>1000</ns0:v>
      </ns0:c>
      <ns0:c r="L77" s="27" t="n">
        <ns0:f>IF(A77="","",MAX(0,L76-IF(B77="B",K77,0)))</ns0:f>
        <ns0:v>2000</ns0:v>
      </ns0:c>
      <ns0:c r="M77" s="27" t="n">
        <ns0:f>IF(A77="","",MAX(0,M76-IF(B77="A",K77,0)))</ns0:f>
        <ns0:v>1000</ns0:v>
      </ns0:c>
      <ns0:c r="N77" s="27" t="n">
        <ns0:f>IF(A77="","",N76+IF(AND(B77="A",F77=1),1,0))</ns0:f>
        <ns0:v>19</ns0:v>
      </ns0:c>
      <ns0:c r="O77" s="27" t="n">
        <ns0:f>IF(A77="","",O76+IF(AND(B77="B",F77=1),1,0))</ns0:f>
        <ns0:v>18</ns0:v>
      </ns0:c>
      <ns0:c r="P77" s="28" t="str">
        <ns0:f>IF(A77="","",IF(L77&lt;=0,"B Wins",IF(M77&lt;=0,"A Wins","Ongoing")))</ns0:f>
        <ns0:v>Ongoing</ns0:v>
      </ns0:c>
    </ns0:row>
    <ns0:row r="78" ht="24" customHeight="1" s="4">
      <ns0:c r="A78" s="29" t="n">
        <ns0:f>IF(P77="Ongoing",A77+1,"")</ns0:f>
        <ns0:v>38</ns0:v>
      </ns0:c>
      <ns0:c r="B78" s="30" t="str">
        <ns0:f>IF(A78="","",IF(MOD(A78,2)=1,$B$30,IF($B$30="A","B","A")))</ns0:f>
        <ns0:v>B</ns0:v>
      </ns0:c>
      <ns0:c r="C78" s="29" t="n">
        <ns0:f>IF(A78="","",IF(A78&lt;=2,2,IF(A78&lt;=4,4,5)))</ns0:f>
        <ns0:v>5</ns0:v>
      </ns0:c>
      <ns0:c r="D78" s="29" t="n">
        <ns0:f>IF(A78="","",IF(B78="A",I77,J77))</ns0:f>
        <ns0:v>0</ns0:v>
      </ns0:c>
      <ns0:c r="E78" s="29" t="n">
        <ns0:f>IF(A78="","",IF(B78="A",$B$24,$C$24))</ns0:f>
        <ns0:v>100</ns0:v>
      </ns0:c>
      <ns0:c r="F78" s="29" t="n">
        <ns0:f>IF(A78="","",IF(D78+E78&gt;=IF(B78="A",$B$17,$C$17),MIN(1,C78),0))</ns0:f>
        <ns0:v>1</ns0:v>
      </ns0:c>
      <ns0:c r="G78" s="30" t="str">
        <ns0:f>IF(A78="","",IF(F78=1,"Normal Attack","Pass: insufficient AP"))</ns0:f>
        <ns0:v>Normal Attack</ns0:v>
      </ns0:c>
      <ns0:c r="H78" s="29" t="n">
        <ns0:f>IF(A78="","",IF(F78=1,IF(B78="A",$B$16,$C$16),0))</ns0:f>
        <ns0:v>100</ns0:v>
      </ns0:c>
      <ns0:c r="I78" s="29" t="n">
        <ns0:f>IF(A78="","",I77+IF(B78="A",E78-H78,0))</ns0:f>
        <ns0:v>0</ns0:v>
      </ns0:c>
      <ns0:c r="J78" s="29" t="n">
        <ns0:f>IF(A78="","",J77+IF(B78="B",E78-H78,0))</ns0:f>
        <ns0:v>0</ns0:v>
      </ns0:c>
      <ns0:c r="K78" s="29" t="n">
        <ns0:f>IF(A78="","",IF(F78=1,IF(B78="A",MIN($B$26,M77),MIN($C$26,L77)),0))</ns0:f>
        <ns0:v>1000</ns0:v>
      </ns0:c>
      <ns0:c r="L78" s="29" t="n">
        <ns0:f>IF(A78="","",MAX(0,L77-IF(B78="B",K78,0)))</ns0:f>
        <ns0:v>1000</ns0:v>
      </ns0:c>
      <ns0:c r="M78" s="29" t="n">
        <ns0:f>IF(A78="","",MAX(0,M77-IF(B78="A",K78,0)))</ns0:f>
        <ns0:v>1000</ns0:v>
      </ns0:c>
      <ns0:c r="N78" s="29" t="n">
        <ns0:f>IF(A78="","",N77+IF(AND(B78="A",F78=1),1,0))</ns0:f>
        <ns0:v>19</ns0:v>
      </ns0:c>
      <ns0:c r="O78" s="29" t="n">
        <ns0:f>IF(A78="","",O77+IF(AND(B78="B",F78=1),1,0))</ns0:f>
        <ns0:v>19</ns0:v>
      </ns0:c>
      <ns0:c r="P78" s="30" t="str">
        <ns0:f>IF(A78="","",IF(L78&lt;=0,"B Wins",IF(M78&lt;=0,"A Wins","Ongoing")))</ns0:f>
        <ns0:v>Ongoing</ns0:v>
      </ns0:c>
    </ns0:row>
    <ns0:row r="79" ht="24" customHeight="1" s="4">
      <ns0:c r="A79" s="27" t="n">
        <ns0:f>IF(P78="Ongoing",A78+1,"")</ns0:f>
        <ns0:v>39</ns0:v>
      </ns0:c>
      <ns0:c r="B79" s="28" t="str">
        <ns0:f>IF(A79="","",IF(MOD(A79,2)=1,$B$30,IF($B$30="A","B","A")))</ns0:f>
        <ns0:v>A</ns0:v>
      </ns0:c>
      <ns0:c r="C79" s="27" t="n">
        <ns0:f>IF(A79="","",IF(A79&lt;=2,2,IF(A79&lt;=4,4,5)))</ns0:f>
        <ns0:v>5</ns0:v>
      </ns0:c>
      <ns0:c r="D79" s="27" t="n">
        <ns0:f>IF(A79="","",IF(B79="A",I78,J78))</ns0:f>
        <ns0:v>0</ns0:v>
      </ns0:c>
      <ns0:c r="E79" s="27" t="n">
        <ns0:f>IF(A79="","",IF(B79="A",$B$24,$C$24))</ns0:f>
        <ns0:v>100</ns0:v>
      </ns0:c>
      <ns0:c r="F79" s="27" t="n">
        <ns0:f>IF(A79="","",IF(D79+E79&gt;=IF(B79="A",$B$17,$C$17),MIN(1,C79),0))</ns0:f>
        <ns0:v>1</ns0:v>
      </ns0:c>
      <ns0:c r="G79" s="28" t="str">
        <ns0:f>IF(A79="","",IF(F79=1,"Normal Attack","Pass: insufficient AP"))</ns0:f>
        <ns0:v>Normal Attack</ns0:v>
      </ns0:c>
      <ns0:c r="H79" s="27" t="n">
        <ns0:f>IF(A79="","",IF(F79=1,IF(B79="A",$B$16,$C$16),0))</ns0:f>
        <ns0:v>100</ns0:v>
      </ns0:c>
      <ns0:c r="I79" s="27" t="n">
        <ns0:f>IF(A79="","",I78+IF(B79="A",E79-H79,0))</ns0:f>
        <ns0:v>0</ns0:v>
      </ns0:c>
      <ns0:c r="J79" s="27" t="n">
        <ns0:f>IF(A79="","",J78+IF(B79="B",E79-H79,0))</ns0:f>
        <ns0:v>0</ns0:v>
      </ns0:c>
      <ns0:c r="K79" s="27" t="n">
        <ns0:f>IF(A79="","",IF(F79=1,IF(B79="A",MIN($B$26,M78),MIN($C$26,L78)),0))</ns0:f>
        <ns0:v>1000</ns0:v>
      </ns0:c>
      <ns0:c r="L79" s="27" t="n">
        <ns0:f>IF(A79="","",MAX(0,L78-IF(B79="B",K79,0)))</ns0:f>
        <ns0:v>1000</ns0:v>
      </ns0:c>
      <ns0:c r="M79" s="27" t="n">
        <ns0:f>IF(A79="","",MAX(0,M78-IF(B79="A",K79,0)))</ns0:f>
        <ns0:v>0</ns0:v>
      </ns0:c>
      <ns0:c r="N79" s="27" t="n">
        <ns0:f>IF(A79="","",N78+IF(AND(B79="A",F79=1),1,0))</ns0:f>
        <ns0:v>20</ns0:v>
      </ns0:c>
      <ns0:c r="O79" s="27" t="n">
        <ns0:f>IF(A79="","",O78+IF(AND(B79="B",F79=1),1,0))</ns0:f>
        <ns0:v>19</ns0:v>
      </ns0:c>
      <ns0:c r="P79" s="28" t="str">
        <ns0:f>IF(A79="","",IF(L79&lt;=0,"B Wins",IF(M79&lt;=0,"A Wins","Ongoing")))</ns0:f>
        <ns0:v>A Wins</ns0:v>
      </ns0:c>
    </ns0:row>
    <ns0:row r="80" ht="24" customHeight="1" s="4">
      <ns0:c r="A80" s="29" t="str">
        <ns0:f>IF(P79="Ongoing",A79+1,"")</ns0:f>
        <ns0:v/>
      </ns0:c>
      <ns0:c r="B80" s="30" t="str">
        <ns0:f>IF(A80="","",IF(MOD(A80,2)=1,$B$30,IF($B$30="A","B","A")))</ns0:f>
        <ns0:v/>
      </ns0:c>
      <ns0:c r="C80" s="29" t="str">
        <ns0:f>IF(A80="","",IF(A80&lt;=2,2,IF(A80&lt;=4,4,5)))</ns0:f>
        <ns0:v/>
      </ns0:c>
      <ns0:c r="D80" s="29" t="str">
        <ns0:f>IF(A80="","",IF(B80="A",I79,J79))</ns0:f>
        <ns0:v/>
      </ns0:c>
      <ns0:c r="E80" s="29" t="str">
        <ns0:f>IF(A80="","",IF(B80="A",$B$24,$C$24))</ns0:f>
        <ns0:v/>
      </ns0:c>
      <ns0:c r="F80" s="29" t="str">
        <ns0:f>IF(A80="","",IF(D80+E80&gt;=IF(B80="A",$B$17,$C$17),MIN(1,C80),0))</ns0:f>
        <ns0:v/>
      </ns0:c>
      <ns0:c r="G80" s="30" t="str">
        <ns0:f>IF(A80="","",IF(F80=1,"Normal Attack","Pass: insufficient AP"))</ns0:f>
        <ns0:v/>
      </ns0:c>
      <ns0:c r="H80" s="29" t="str">
        <ns0:f>IF(A80="","",IF(F80=1,IF(B80="A",$B$16,$C$16),0))</ns0:f>
        <ns0:v/>
      </ns0:c>
      <ns0:c r="I80" s="29" t="str">
        <ns0:f>IF(A80="","",I79+IF(B80="A",E80-H80,0))</ns0:f>
        <ns0:v/>
      </ns0:c>
      <ns0:c r="J80" s="29" t="str">
        <ns0:f>IF(A80="","",J79+IF(B80="B",E80-H80,0))</ns0:f>
        <ns0:v/>
      </ns0:c>
      <ns0:c r="K80" s="29" t="str">
        <ns0:f>IF(A80="","",IF(F80=1,IF(B80="A",MIN($B$26,M79),MIN($C$26,L79)),0))</ns0:f>
        <ns0:v/>
      </ns0:c>
      <ns0:c r="L80" s="29" t="str">
        <ns0:f>IF(A80="","",MAX(0,L79-IF(B80="B",K80,0)))</ns0:f>
        <ns0:v/>
      </ns0:c>
      <ns0:c r="M80" s="29" t="str">
        <ns0:f>IF(A80="","",MAX(0,M79-IF(B80="A",K80,0)))</ns0:f>
        <ns0:v/>
      </ns0:c>
      <ns0:c r="N80" s="29" t="str">
        <ns0:f>IF(A80="","",N79+IF(AND(B80="A",F80=1),1,0))</ns0:f>
        <ns0:v/>
      </ns0:c>
      <ns0:c r="O80" s="29" t="str">
        <ns0:f>IF(A80="","",O79+IF(AND(B80="B",F80=1),1,0))</ns0:f>
        <ns0:v/>
      </ns0:c>
      <ns0:c r="P80" s="30" t="str">
        <ns0:f>IF(A80="","",IF(L80&lt;=0,"B Wins",IF(M80&lt;=0,"A Wins","Ongoing")))</ns0:f>
        <ns0:v/>
      </ns0:c>
    </ns0:row>
    <ns0:row r="81" ht="24" customHeight="1" s="4">
      <ns0:c r="A81" s="27" t="str">
        <ns0:f>IF(P80="Ongoing",A80+1,"")</ns0:f>
        <ns0:v/>
      </ns0:c>
      <ns0:c r="B81" s="28" t="str">
        <ns0:f>IF(A81="","",IF(MOD(A81,2)=1,$B$30,IF($B$30="A","B","A")))</ns0:f>
        <ns0:v/>
      </ns0:c>
      <ns0:c r="C81" s="27" t="str">
        <ns0:f>IF(A81="","",IF(A81&lt;=2,2,IF(A81&lt;=4,4,5)))</ns0:f>
        <ns0:v/>
      </ns0:c>
      <ns0:c r="D81" s="27" t="str">
        <ns0:f>IF(A81="","",IF(B81="A",I80,J80))</ns0:f>
        <ns0:v/>
      </ns0:c>
      <ns0:c r="E81" s="27" t="str">
        <ns0:f>IF(A81="","",IF(B81="A",$B$24,$C$24))</ns0:f>
        <ns0:v/>
      </ns0:c>
      <ns0:c r="F81" s="27" t="str">
        <ns0:f>IF(A81="","",IF(D81+E81&gt;=IF(B81="A",$B$17,$C$17),MIN(1,C81),0))</ns0:f>
        <ns0:v/>
      </ns0:c>
      <ns0:c r="G81" s="28" t="str">
        <ns0:f>IF(A81="","",IF(F81=1,"Normal Attack","Pass: insufficient AP"))</ns0:f>
        <ns0:v/>
      </ns0:c>
      <ns0:c r="H81" s="27" t="str">
        <ns0:f>IF(A81="","",IF(F81=1,IF(B81="A",$B$16,$C$16),0))</ns0:f>
        <ns0:v/>
      </ns0:c>
      <ns0:c r="I81" s="27" t="str">
        <ns0:f>IF(A81="","",I80+IF(B81="A",E81-H81,0))</ns0:f>
        <ns0:v/>
      </ns0:c>
      <ns0:c r="J81" s="27" t="str">
        <ns0:f>IF(A81="","",J80+IF(B81="B",E81-H81,0))</ns0:f>
        <ns0:v/>
      </ns0:c>
      <ns0:c r="K81" s="27" t="str">
        <ns0:f>IF(A81="","",IF(F81=1,IF(B81="A",MIN($B$26,M80),MIN($C$26,L80)),0))</ns0:f>
        <ns0:v/>
      </ns0:c>
      <ns0:c r="L81" s="27" t="str">
        <ns0:f>IF(A81="","",MAX(0,L80-IF(B81="B",K81,0)))</ns0:f>
        <ns0:v/>
      </ns0:c>
      <ns0:c r="M81" s="27" t="str">
        <ns0:f>IF(A81="","",MAX(0,M80-IF(B81="A",K81,0)))</ns0:f>
        <ns0:v/>
      </ns0:c>
      <ns0:c r="N81" s="27" t="str">
        <ns0:f>IF(A81="","",N80+IF(AND(B81="A",F81=1),1,0))</ns0:f>
        <ns0:v/>
      </ns0:c>
      <ns0:c r="O81" s="27" t="str">
        <ns0:f>IF(A81="","",O80+IF(AND(B81="B",F81=1),1,0))</ns0:f>
        <ns0:v/>
      </ns0:c>
      <ns0:c r="P81" s="28" t="str">
        <ns0:f>IF(A81="","",IF(L81&lt;=0,"B Wins",IF(M81&lt;=0,"A Wins","Ongoing")))</ns0:f>
        <ns0:v/>
      </ns0:c>
    </ns0:row>
    <ns0:row r="82" ht="24" customHeight="1" s="4">
      <ns0:c r="A82" s="29" t="str">
        <ns0:f>IF(P81="Ongoing",A81+1,"")</ns0:f>
        <ns0:v/>
      </ns0:c>
      <ns0:c r="B82" s="30" t="str">
        <ns0:f>IF(A82="","",IF(MOD(A82,2)=1,$B$30,IF($B$30="A","B","A")))</ns0:f>
        <ns0:v/>
      </ns0:c>
      <ns0:c r="C82" s="29" t="str">
        <ns0:f>IF(A82="","",IF(A82&lt;=2,2,IF(A82&lt;=4,4,5)))</ns0:f>
        <ns0:v/>
      </ns0:c>
      <ns0:c r="D82" s="29" t="str">
        <ns0:f>IF(A82="","",IF(B82="A",I81,J81))</ns0:f>
        <ns0:v/>
      </ns0:c>
      <ns0:c r="E82" s="29" t="str">
        <ns0:f>IF(A82="","",IF(B82="A",$B$24,$C$24))</ns0:f>
        <ns0:v/>
      </ns0:c>
      <ns0:c r="F82" s="29" t="str">
        <ns0:f>IF(A82="","",IF(D82+E82&gt;=IF(B82="A",$B$17,$C$17),MIN(1,C82),0))</ns0:f>
        <ns0:v/>
      </ns0:c>
      <ns0:c r="G82" s="30" t="str">
        <ns0:f>IF(A82="","",IF(F82=1,"Normal Attack","Pass: insufficient AP"))</ns0:f>
        <ns0:v/>
      </ns0:c>
      <ns0:c r="H82" s="29" t="str">
        <ns0:f>IF(A82="","",IF(F82=1,IF(B82="A",$B$16,$C$16),0))</ns0:f>
        <ns0:v/>
      </ns0:c>
      <ns0:c r="I82" s="29" t="str">
        <ns0:f>IF(A82="","",I81+IF(B82="A",E82-H82,0))</ns0:f>
        <ns0:v/>
      </ns0:c>
      <ns0:c r="J82" s="29" t="str">
        <ns0:f>IF(A82="","",J81+IF(B82="B",E82-H82,0))</ns0:f>
        <ns0:v/>
      </ns0:c>
      <ns0:c r="K82" s="29" t="str">
        <ns0:f>IF(A82="","",IF(F82=1,IF(B82="A",MIN($B$26,M81),MIN($C$26,L81)),0))</ns0:f>
        <ns0:v/>
      </ns0:c>
      <ns0:c r="L82" s="29" t="str">
        <ns0:f>IF(A82="","",MAX(0,L81-IF(B82="B",K82,0)))</ns0:f>
        <ns0:v/>
      </ns0:c>
      <ns0:c r="M82" s="29" t="str">
        <ns0:f>IF(A82="","",MAX(0,M81-IF(B82="A",K82,0)))</ns0:f>
        <ns0:v/>
      </ns0:c>
      <ns0:c r="N82" s="29" t="str">
        <ns0:f>IF(A82="","",N81+IF(AND(B82="A",F82=1),1,0))</ns0:f>
        <ns0:v/>
      </ns0:c>
      <ns0:c r="O82" s="29" t="str">
        <ns0:f>IF(A82="","",O81+IF(AND(B82="B",F82=1),1,0))</ns0:f>
        <ns0:v/>
      </ns0:c>
      <ns0:c r="P82" s="30" t="str">
        <ns0:f>IF(A82="","",IF(L82&lt;=0,"B Wins",IF(M82&lt;=0,"A Wins","Ongoing")))</ns0:f>
        <ns0:v/>
      </ns0:c>
    </ns0:row>
    <ns0:row r="83" ht="24" customHeight="1" s="4">
      <ns0:c r="A83" s="27" t="str">
        <ns0:f>IF(P82="Ongoing",A82+1,"")</ns0:f>
        <ns0:v/>
      </ns0:c>
      <ns0:c r="B83" s="28" t="str">
        <ns0:f>IF(A83="","",IF(MOD(A83,2)=1,$B$30,IF($B$30="A","B","A")))</ns0:f>
        <ns0:v/>
      </ns0:c>
      <ns0:c r="C83" s="27" t="str">
        <ns0:f>IF(A83="","",IF(A83&lt;=2,2,IF(A83&lt;=4,4,5)))</ns0:f>
        <ns0:v/>
      </ns0:c>
      <ns0:c r="D83" s="27" t="str">
        <ns0:f>IF(A83="","",IF(B83="A",I82,J82))</ns0:f>
        <ns0:v/>
      </ns0:c>
      <ns0:c r="E83" s="27" t="str">
        <ns0:f>IF(A83="","",IF(B83="A",$B$24,$C$24))</ns0:f>
        <ns0:v/>
      </ns0:c>
      <ns0:c r="F83" s="27" t="str">
        <ns0:f>IF(A83="","",IF(D83+E83&gt;=IF(B83="A",$B$17,$C$17),MIN(1,C83),0))</ns0:f>
        <ns0:v/>
      </ns0:c>
      <ns0:c r="G83" s="28" t="str">
        <ns0:f>IF(A83="","",IF(F83=1,"Normal Attack","Pass: insufficient AP"))</ns0:f>
        <ns0:v/>
      </ns0:c>
      <ns0:c r="H83" s="27" t="str">
        <ns0:f>IF(A83="","",IF(F83=1,IF(B83="A",$B$16,$C$16),0))</ns0:f>
        <ns0:v/>
      </ns0:c>
      <ns0:c r="I83" s="27" t="str">
        <ns0:f>IF(A83="","",I82+IF(B83="A",E83-H83,0))</ns0:f>
        <ns0:v/>
      </ns0:c>
      <ns0:c r="J83" s="27" t="str">
        <ns0:f>IF(A83="","",J82+IF(B83="B",E83-H83,0))</ns0:f>
        <ns0:v/>
      </ns0:c>
      <ns0:c r="K83" s="27" t="str">
        <ns0:f>IF(A83="","",IF(F83=1,IF(B83="A",MIN($B$26,M82),MIN($C$26,L82)),0))</ns0:f>
        <ns0:v/>
      </ns0:c>
      <ns0:c r="L83" s="27" t="str">
        <ns0:f>IF(A83="","",MAX(0,L82-IF(B83="B",K83,0)))</ns0:f>
        <ns0:v/>
      </ns0:c>
      <ns0:c r="M83" s="27" t="str">
        <ns0:f>IF(A83="","",MAX(0,M82-IF(B83="A",K83,0)))</ns0:f>
        <ns0:v/>
      </ns0:c>
      <ns0:c r="N83" s="27" t="str">
        <ns0:f>IF(A83="","",N82+IF(AND(B83="A",F83=1),1,0))</ns0:f>
        <ns0:v/>
      </ns0:c>
      <ns0:c r="O83" s="27" t="str">
        <ns0:f>IF(A83="","",O82+IF(AND(B83="B",F83=1),1,0))</ns0:f>
        <ns0:v/>
      </ns0:c>
      <ns0:c r="P83" s="28" t="str">
        <ns0:f>IF(A83="","",IF(L83&lt;=0,"B Wins",IF(M83&lt;=0,"A Wins","Ongoing")))</ns0:f>
        <ns0:v/>
      </ns0:c>
    </ns0:row>
    <ns0:row r="84" ht="24" customHeight="1" s="4">
      <ns0:c r="A84" s="29" t="str">
        <ns0:f>IF(P83="Ongoing",A83+1,"")</ns0:f>
        <ns0:v/>
      </ns0:c>
      <ns0:c r="B84" s="30" t="str">
        <ns0:f>IF(A84="","",IF(MOD(A84,2)=1,$B$30,IF($B$30="A","B","A")))</ns0:f>
        <ns0:v/>
      </ns0:c>
      <ns0:c r="C84" s="29" t="str">
        <ns0:f>IF(A84="","",IF(A84&lt;=2,2,IF(A84&lt;=4,4,5)))</ns0:f>
        <ns0:v/>
      </ns0:c>
      <ns0:c r="D84" s="29" t="str">
        <ns0:f>IF(A84="","",IF(B84="A",I83,J83))</ns0:f>
        <ns0:v/>
      </ns0:c>
      <ns0:c r="E84" s="29" t="str">
        <ns0:f>IF(A84="","",IF(B84="A",$B$24,$C$24))</ns0:f>
        <ns0:v/>
      </ns0:c>
      <ns0:c r="F84" s="29" t="str">
        <ns0:f>IF(A84="","",IF(D84+E84&gt;=IF(B84="A",$B$17,$C$17),MIN(1,C84),0))</ns0:f>
        <ns0:v/>
      </ns0:c>
      <ns0:c r="G84" s="30" t="str">
        <ns0:f>IF(A84="","",IF(F84=1,"Normal Attack","Pass: insufficient AP"))</ns0:f>
        <ns0:v/>
      </ns0:c>
      <ns0:c r="H84" s="29" t="str">
        <ns0:f>IF(A84="","",IF(F84=1,IF(B84="A",$B$16,$C$16),0))</ns0:f>
        <ns0:v/>
      </ns0:c>
      <ns0:c r="I84" s="29" t="str">
        <ns0:f>IF(A84="","",I83+IF(B84="A",E84-H84,0))</ns0:f>
        <ns0:v/>
      </ns0:c>
      <ns0:c r="J84" s="29" t="str">
        <ns0:f>IF(A84="","",J83+IF(B84="B",E84-H84,0))</ns0:f>
        <ns0:v/>
      </ns0:c>
      <ns0:c r="K84" s="29" t="str">
        <ns0:f>IF(A84="","",IF(F84=1,IF(B84="A",MIN($B$26,M83),MIN($C$26,L83)),0))</ns0:f>
        <ns0:v/>
      </ns0:c>
      <ns0:c r="L84" s="29" t="str">
        <ns0:f>IF(A84="","",MAX(0,L83-IF(B84="B",K84,0)))</ns0:f>
        <ns0:v/>
      </ns0:c>
      <ns0:c r="M84" s="29" t="str">
        <ns0:f>IF(A84="","",MAX(0,M83-IF(B84="A",K84,0)))</ns0:f>
        <ns0:v/>
      </ns0:c>
      <ns0:c r="N84" s="29" t="str">
        <ns0:f>IF(A84="","",N83+IF(AND(B84="A",F84=1),1,0))</ns0:f>
        <ns0:v/>
      </ns0:c>
      <ns0:c r="O84" s="29" t="str">
        <ns0:f>IF(A84="","",O83+IF(AND(B84="B",F84=1),1,0))</ns0:f>
        <ns0:v/>
      </ns0:c>
      <ns0:c r="P84" s="30" t="str">
        <ns0:f>IF(A84="","",IF(L84&lt;=0,"B Wins",IF(M84&lt;=0,"A Wins","Ongoing")))</ns0:f>
        <ns0:v/>
      </ns0:c>
    </ns0:row>
    <ns0:row r="85" ht="24" customHeight="1" s="4">
      <ns0:c r="A85" s="27" t="str">
        <ns0:f>IF(P84="Ongoing",A84+1,"")</ns0:f>
        <ns0:v/>
      </ns0:c>
      <ns0:c r="B85" s="28" t="str">
        <ns0:f>IF(A85="","",IF(MOD(A85,2)=1,$B$30,IF($B$30="A","B","A")))</ns0:f>
        <ns0:v/>
      </ns0:c>
      <ns0:c r="C85" s="27" t="str">
        <ns0:f>IF(A85="","",IF(A85&lt;=2,2,IF(A85&lt;=4,4,5)))</ns0:f>
        <ns0:v/>
      </ns0:c>
      <ns0:c r="D85" s="27" t="str">
        <ns0:f>IF(A85="","",IF(B85="A",I84,J84))</ns0:f>
        <ns0:v/>
      </ns0:c>
      <ns0:c r="E85" s="27" t="str">
        <ns0:f>IF(A85="","",IF(B85="A",$B$24,$C$24))</ns0:f>
        <ns0:v/>
      </ns0:c>
      <ns0:c r="F85" s="27" t="str">
        <ns0:f>IF(A85="","",IF(D85+E85&gt;=IF(B85="A",$B$17,$C$17),MIN(1,C85),0))</ns0:f>
        <ns0:v/>
      </ns0:c>
      <ns0:c r="G85" s="28" t="str">
        <ns0:f>IF(A85="","",IF(F85=1,"Normal Attack","Pass: insufficient AP"))</ns0:f>
        <ns0:v/>
      </ns0:c>
      <ns0:c r="H85" s="27" t="str">
        <ns0:f>IF(A85="","",IF(F85=1,IF(B85="A",$B$16,$C$16),0))</ns0:f>
        <ns0:v/>
      </ns0:c>
      <ns0:c r="I85" s="27" t="str">
        <ns0:f>IF(A85="","",I84+IF(B85="A",E85-H85,0))</ns0:f>
        <ns0:v/>
      </ns0:c>
      <ns0:c r="J85" s="27" t="str">
        <ns0:f>IF(A85="","",J84+IF(B85="B",E85-H85,0))</ns0:f>
        <ns0:v/>
      </ns0:c>
      <ns0:c r="K85" s="27" t="str">
        <ns0:f>IF(A85="","",IF(F85=1,IF(B85="A",MIN($B$26,M84),MIN($C$26,L84)),0))</ns0:f>
        <ns0:v/>
      </ns0:c>
      <ns0:c r="L85" s="27" t="str">
        <ns0:f>IF(A85="","",MAX(0,L84-IF(B85="B",K85,0)))</ns0:f>
        <ns0:v/>
      </ns0:c>
      <ns0:c r="M85" s="27" t="str">
        <ns0:f>IF(A85="","",MAX(0,M84-IF(B85="A",K85,0)))</ns0:f>
        <ns0:v/>
      </ns0:c>
      <ns0:c r="N85" s="27" t="str">
        <ns0:f>IF(A85="","",N84+IF(AND(B85="A",F85=1),1,0))</ns0:f>
        <ns0:v/>
      </ns0:c>
      <ns0:c r="O85" s="27" t="str">
        <ns0:f>IF(A85="","",O84+IF(AND(B85="B",F85=1),1,0))</ns0:f>
        <ns0:v/>
      </ns0:c>
      <ns0:c r="P85" s="28" t="str">
        <ns0:f>IF(A85="","",IF(L85&lt;=0,"B Wins",IF(M85&lt;=0,"A Wins","Ongoing")))</ns0:f>
        <ns0:v/>
      </ns0:c>
    </ns0:row>
    <ns0:row r="86" ht="24" customHeight="1" s="4">
      <ns0:c r="A86" s="29" t="str">
        <ns0:f>IF(P85="Ongoing",A85+1,"")</ns0:f>
        <ns0:v/>
      </ns0:c>
      <ns0:c r="B86" s="30" t="str">
        <ns0:f>IF(A86="","",IF(MOD(A86,2)=1,$B$30,IF($B$30="A","B","A")))</ns0:f>
        <ns0:v/>
      </ns0:c>
      <ns0:c r="C86" s="29" t="str">
        <ns0:f>IF(A86="","",IF(A86&lt;=2,2,IF(A86&lt;=4,4,5)))</ns0:f>
        <ns0:v/>
      </ns0:c>
      <ns0:c r="D86" s="29" t="str">
        <ns0:f>IF(A86="","",IF(B86="A",I85,J85))</ns0:f>
        <ns0:v/>
      </ns0:c>
      <ns0:c r="E86" s="29" t="str">
        <ns0:f>IF(A86="","",IF(B86="A",$B$24,$C$24))</ns0:f>
        <ns0:v/>
      </ns0:c>
      <ns0:c r="F86" s="29" t="str">
        <ns0:f>IF(A86="","",IF(D86+E86&gt;=IF(B86="A",$B$17,$C$17),MIN(1,C86),0))</ns0:f>
        <ns0:v/>
      </ns0:c>
      <ns0:c r="G86" s="30" t="str">
        <ns0:f>IF(A86="","",IF(F86=1,"Normal Attack","Pass: insufficient AP"))</ns0:f>
        <ns0:v/>
      </ns0:c>
      <ns0:c r="H86" s="29" t="str">
        <ns0:f>IF(A86="","",IF(F86=1,IF(B86="A",$B$16,$C$16),0))</ns0:f>
        <ns0:v/>
      </ns0:c>
      <ns0:c r="I86" s="29" t="str">
        <ns0:f>IF(A86="","",I85+IF(B86="A",E86-H86,0))</ns0:f>
        <ns0:v/>
      </ns0:c>
      <ns0:c r="J86" s="29" t="str">
        <ns0:f>IF(A86="","",J85+IF(B86="B",E86-H86,0))</ns0:f>
        <ns0:v/>
      </ns0:c>
      <ns0:c r="K86" s="29" t="str">
        <ns0:f>IF(A86="","",IF(F86=1,IF(B86="A",MIN($B$26,M85),MIN($C$26,L85)),0))</ns0:f>
        <ns0:v/>
      </ns0:c>
      <ns0:c r="L86" s="29" t="str">
        <ns0:f>IF(A86="","",MAX(0,L85-IF(B86="B",K86,0)))</ns0:f>
        <ns0:v/>
      </ns0:c>
      <ns0:c r="M86" s="29" t="str">
        <ns0:f>IF(A86="","",MAX(0,M85-IF(B86="A",K86,0)))</ns0:f>
        <ns0:v/>
      </ns0:c>
      <ns0:c r="N86" s="29" t="str">
        <ns0:f>IF(A86="","",N85+IF(AND(B86="A",F86=1),1,0))</ns0:f>
        <ns0:v/>
      </ns0:c>
      <ns0:c r="O86" s="29" t="str">
        <ns0:f>IF(A86="","",O85+IF(AND(B86="B",F86=1),1,0))</ns0:f>
        <ns0:v/>
      </ns0:c>
      <ns0:c r="P86" s="30" t="str">
        <ns0:f>IF(A86="","",IF(L86&lt;=0,"B Wins",IF(M86&lt;=0,"A Wins","Ongoing")))</ns0:f>
        <ns0:v/>
      </ns0:c>
    </ns0:row>
    <ns0:row r="87" ht="24" customHeight="1" s="4">
      <ns0:c r="A87" s="27" t="str">
        <ns0:f>IF(P86="Ongoing",A86+1,"")</ns0:f>
        <ns0:v/>
      </ns0:c>
      <ns0:c r="B87" s="28" t="str">
        <ns0:f>IF(A87="","",IF(MOD(A87,2)=1,$B$30,IF($B$30="A","B","A")))</ns0:f>
        <ns0:v/>
      </ns0:c>
      <ns0:c r="C87" s="27" t="str">
        <ns0:f>IF(A87="","",IF(A87&lt;=2,2,IF(A87&lt;=4,4,5)))</ns0:f>
        <ns0:v/>
      </ns0:c>
      <ns0:c r="D87" s="27" t="str">
        <ns0:f>IF(A87="","",IF(B87="A",I86,J86))</ns0:f>
        <ns0:v/>
      </ns0:c>
      <ns0:c r="E87" s="27" t="str">
        <ns0:f>IF(A87="","",IF(B87="A",$B$24,$C$24))</ns0:f>
        <ns0:v/>
      </ns0:c>
      <ns0:c r="F87" s="27" t="str">
        <ns0:f>IF(A87="","",IF(D87+E87&gt;=IF(B87="A",$B$17,$C$17),MIN(1,C87),0))</ns0:f>
        <ns0:v/>
      </ns0:c>
      <ns0:c r="G87" s="28" t="str">
        <ns0:f>IF(A87="","",IF(F87=1,"Normal Attack","Pass: insufficient AP"))</ns0:f>
        <ns0:v/>
      </ns0:c>
      <ns0:c r="H87" s="27" t="str">
        <ns0:f>IF(A87="","",IF(F87=1,IF(B87="A",$B$16,$C$16),0))</ns0:f>
        <ns0:v/>
      </ns0:c>
      <ns0:c r="I87" s="27" t="str">
        <ns0:f>IF(A87="","",I86+IF(B87="A",E87-H87,0))</ns0:f>
        <ns0:v/>
      </ns0:c>
      <ns0:c r="J87" s="27" t="str">
        <ns0:f>IF(A87="","",J86+IF(B87="B",E87-H87,0))</ns0:f>
        <ns0:v/>
      </ns0:c>
      <ns0:c r="K87" s="27" t="str">
        <ns0:f>IF(A87="","",IF(F87=1,IF(B87="A",MIN($B$26,M86),MIN($C$26,L86)),0))</ns0:f>
        <ns0:v/>
      </ns0:c>
      <ns0:c r="L87" s="27" t="str">
        <ns0:f>IF(A87="","",MAX(0,L86-IF(B87="B",K87,0)))</ns0:f>
        <ns0:v/>
      </ns0:c>
      <ns0:c r="M87" s="27" t="str">
        <ns0:f>IF(A87="","",MAX(0,M86-IF(B87="A",K87,0)))</ns0:f>
        <ns0:v/>
      </ns0:c>
      <ns0:c r="N87" s="27" t="str">
        <ns0:f>IF(A87="","",N86+IF(AND(B87="A",F87=1),1,0))</ns0:f>
        <ns0:v/>
      </ns0:c>
      <ns0:c r="O87" s="27" t="str">
        <ns0:f>IF(A87="","",O86+IF(AND(B87="B",F87=1),1,0))</ns0:f>
        <ns0:v/>
      </ns0:c>
      <ns0:c r="P87" s="28" t="str">
        <ns0:f>IF(A87="","",IF(L87&lt;=0,"B Wins",IF(M87&lt;=0,"A Wins","Ongoing")))</ns0:f>
        <ns0:v/>
      </ns0:c>
    </ns0:row>
    <ns0:row r="88" ht="24" customHeight="1" s="4">
      <ns0:c r="A88" s="29" t="str">
        <ns0:f>IF(P87="Ongoing",A87+1,"")</ns0:f>
        <ns0:v/>
      </ns0:c>
      <ns0:c r="B88" s="30" t="str">
        <ns0:f>IF(A88="","",IF(MOD(A88,2)=1,$B$30,IF($B$30="A","B","A")))</ns0:f>
        <ns0:v/>
      </ns0:c>
      <ns0:c r="C88" s="29" t="str">
        <ns0:f>IF(A88="","",IF(A88&lt;=2,2,IF(A88&lt;=4,4,5)))</ns0:f>
        <ns0:v/>
      </ns0:c>
      <ns0:c r="D88" s="29" t="str">
        <ns0:f>IF(A88="","",IF(B88="A",I87,J87))</ns0:f>
        <ns0:v/>
      </ns0:c>
      <ns0:c r="E88" s="29" t="str">
        <ns0:f>IF(A88="","",IF(B88="A",$B$24,$C$24))</ns0:f>
        <ns0:v/>
      </ns0:c>
      <ns0:c r="F88" s="29" t="str">
        <ns0:f>IF(A88="","",IF(D88+E88&gt;=IF(B88="A",$B$17,$C$17),MIN(1,C88),0))</ns0:f>
        <ns0:v/>
      </ns0:c>
      <ns0:c r="G88" s="30" t="str">
        <ns0:f>IF(A88="","",IF(F88=1,"Normal Attack","Pass: insufficient AP"))</ns0:f>
        <ns0:v/>
      </ns0:c>
      <ns0:c r="H88" s="29" t="str">
        <ns0:f>IF(A88="","",IF(F88=1,IF(B88="A",$B$16,$C$16),0))</ns0:f>
        <ns0:v/>
      </ns0:c>
      <ns0:c r="I88" s="29" t="str">
        <ns0:f>IF(A88="","",I87+IF(B88="A",E88-H88,0))</ns0:f>
        <ns0:v/>
      </ns0:c>
      <ns0:c r="J88" s="29" t="str">
        <ns0:f>IF(A88="","",J87+IF(B88="B",E88-H88,0))</ns0:f>
        <ns0:v/>
      </ns0:c>
      <ns0:c r="K88" s="29" t="str">
        <ns0:f>IF(A88="","",IF(F88=1,IF(B88="A",MIN($B$26,M87),MIN($C$26,L87)),0))</ns0:f>
        <ns0:v/>
      </ns0:c>
      <ns0:c r="L88" s="29" t="str">
        <ns0:f>IF(A88="","",MAX(0,L87-IF(B88="B",K88,0)))</ns0:f>
        <ns0:v/>
      </ns0:c>
      <ns0:c r="M88" s="29" t="str">
        <ns0:f>IF(A88="","",MAX(0,M87-IF(B88="A",K88,0)))</ns0:f>
        <ns0:v/>
      </ns0:c>
      <ns0:c r="N88" s="29" t="str">
        <ns0:f>IF(A88="","",N87+IF(AND(B88="A",F88=1),1,0))</ns0:f>
        <ns0:v/>
      </ns0:c>
      <ns0:c r="O88" s="29" t="str">
        <ns0:f>IF(A88="","",O87+IF(AND(B88="B",F88=1),1,0))</ns0:f>
        <ns0:v/>
      </ns0:c>
      <ns0:c r="P88" s="30" t="str">
        <ns0:f>IF(A88="","",IF(L88&lt;=0,"B Wins",IF(M88&lt;=0,"A Wins","Ongoing")))</ns0:f>
        <ns0:v/>
      </ns0:c>
    </ns0:row>
    <ns0:row r="89" ht="24" customHeight="1" s="4">
      <ns0:c r="A89" s="27" t="str">
        <ns0:f>IF(P88="Ongoing",A88+1,"")</ns0:f>
        <ns0:v/>
      </ns0:c>
      <ns0:c r="B89" s="28" t="str">
        <ns0:f>IF(A89="","",IF(MOD(A89,2)=1,$B$30,IF($B$30="A","B","A")))</ns0:f>
        <ns0:v/>
      </ns0:c>
      <ns0:c r="C89" s="27" t="str">
        <ns0:f>IF(A89="","",IF(A89&lt;=2,2,IF(A89&lt;=4,4,5)))</ns0:f>
        <ns0:v/>
      </ns0:c>
      <ns0:c r="D89" s="27" t="str">
        <ns0:f>IF(A89="","",IF(B89="A",I88,J88))</ns0:f>
        <ns0:v/>
      </ns0:c>
      <ns0:c r="E89" s="27" t="str">
        <ns0:f>IF(A89="","",IF(B89="A",$B$24,$C$24))</ns0:f>
        <ns0:v/>
      </ns0:c>
      <ns0:c r="F89" s="27" t="str">
        <ns0:f>IF(A89="","",IF(D89+E89&gt;=IF(B89="A",$B$17,$C$17),MIN(1,C89),0))</ns0:f>
        <ns0:v/>
      </ns0:c>
      <ns0:c r="G89" s="28" t="str">
        <ns0:f>IF(A89="","",IF(F89=1,"Normal Attack","Pass: insufficient AP"))</ns0:f>
        <ns0:v/>
      </ns0:c>
      <ns0:c r="H89" s="27" t="str">
        <ns0:f>IF(A89="","",IF(F89=1,IF(B89="A",$B$16,$C$16),0))</ns0:f>
        <ns0:v/>
      </ns0:c>
      <ns0:c r="I89" s="27" t="str">
        <ns0:f>IF(A89="","",I88+IF(B89="A",E89-H89,0))</ns0:f>
        <ns0:v/>
      </ns0:c>
      <ns0:c r="J89" s="27" t="str">
        <ns0:f>IF(A89="","",J88+IF(B89="B",E89-H89,0))</ns0:f>
        <ns0:v/>
      </ns0:c>
      <ns0:c r="K89" s="27" t="str">
        <ns0:f>IF(A89="","",IF(F89=1,IF(B89="A",MIN($B$26,M88),MIN($C$26,L88)),0))</ns0:f>
        <ns0:v/>
      </ns0:c>
      <ns0:c r="L89" s="27" t="str">
        <ns0:f>IF(A89="","",MAX(0,L88-IF(B89="B",K89,0)))</ns0:f>
        <ns0:v/>
      </ns0:c>
      <ns0:c r="M89" s="27" t="str">
        <ns0:f>IF(A89="","",MAX(0,M88-IF(B89="A",K89,0)))</ns0:f>
        <ns0:v/>
      </ns0:c>
      <ns0:c r="N89" s="27" t="str">
        <ns0:f>IF(A89="","",N88+IF(AND(B89="A",F89=1),1,0))</ns0:f>
        <ns0:v/>
      </ns0:c>
      <ns0:c r="O89" s="27" t="str">
        <ns0:f>IF(A89="","",O88+IF(AND(B89="B",F89=1),1,0))</ns0:f>
        <ns0:v/>
      </ns0:c>
      <ns0:c r="P89" s="28" t="str">
        <ns0:f>IF(A89="","",IF(L89&lt;=0,"B Wins",IF(M89&lt;=0,"A Wins","Ongoing")))</ns0:f>
        <ns0:v/>
      </ns0:c>
    </ns0:row>
    <ns0:row r="90" ht="24" customHeight="1" s="4">
      <ns0:c r="A90" s="29" t="str">
        <ns0:f>IF(P89="Ongoing",A89+1,"")</ns0:f>
        <ns0:v/>
      </ns0:c>
      <ns0:c r="B90" s="30" t="str">
        <ns0:f>IF(A90="","",IF(MOD(A90,2)=1,$B$30,IF($B$30="A","B","A")))</ns0:f>
        <ns0:v/>
      </ns0:c>
      <ns0:c r="C90" s="29" t="str">
        <ns0:f>IF(A90="","",IF(A90&lt;=2,2,IF(A90&lt;=4,4,5)))</ns0:f>
        <ns0:v/>
      </ns0:c>
      <ns0:c r="D90" s="29" t="str">
        <ns0:f>IF(A90="","",IF(B90="A",I89,J89))</ns0:f>
        <ns0:v/>
      </ns0:c>
      <ns0:c r="E90" s="29" t="str">
        <ns0:f>IF(A90="","",IF(B90="A",$B$24,$C$24))</ns0:f>
        <ns0:v/>
      </ns0:c>
      <ns0:c r="F90" s="29" t="str">
        <ns0:f>IF(A90="","",IF(D90+E90&gt;=IF(B90="A",$B$17,$C$17),MIN(1,C90),0))</ns0:f>
        <ns0:v/>
      </ns0:c>
      <ns0:c r="G90" s="30" t="str">
        <ns0:f>IF(A90="","",IF(F90=1,"Normal Attack","Pass: insufficient AP"))</ns0:f>
        <ns0:v/>
      </ns0:c>
      <ns0:c r="H90" s="29" t="str">
        <ns0:f>IF(A90="","",IF(F90=1,IF(B90="A",$B$16,$C$16),0))</ns0:f>
        <ns0:v/>
      </ns0:c>
      <ns0:c r="I90" s="29" t="str">
        <ns0:f>IF(A90="","",I89+IF(B90="A",E90-H90,0))</ns0:f>
        <ns0:v/>
      </ns0:c>
      <ns0:c r="J90" s="29" t="str">
        <ns0:f>IF(A90="","",J89+IF(B90="B",E90-H90,0))</ns0:f>
        <ns0:v/>
      </ns0:c>
      <ns0:c r="K90" s="29" t="str">
        <ns0:f>IF(A90="","",IF(F90=1,IF(B90="A",MIN($B$26,M89),MIN($C$26,L89)),0))</ns0:f>
        <ns0:v/>
      </ns0:c>
      <ns0:c r="L90" s="29" t="str">
        <ns0:f>IF(A90="","",MAX(0,L89-IF(B90="B",K90,0)))</ns0:f>
        <ns0:v/>
      </ns0:c>
      <ns0:c r="M90" s="29" t="str">
        <ns0:f>IF(A90="","",MAX(0,M89-IF(B90="A",K90,0)))</ns0:f>
        <ns0:v/>
      </ns0:c>
      <ns0:c r="N90" s="29" t="str">
        <ns0:f>IF(A90="","",N89+IF(AND(B90="A",F90=1),1,0))</ns0:f>
        <ns0:v/>
      </ns0:c>
      <ns0:c r="O90" s="29" t="str">
        <ns0:f>IF(A90="","",O89+IF(AND(B90="B",F90=1),1,0))</ns0:f>
        <ns0:v/>
      </ns0:c>
      <ns0:c r="P90" s="30" t="str">
        <ns0:f>IF(A90="","",IF(L90&lt;=0,"B Wins",IF(M90&lt;=0,"A Wins","Ongoing")))</ns0:f>
        <ns0:v/>
      </ns0:c>
    </ns0:row>
    <ns0:row r="91" ht="24" customHeight="1" s="4">
      <ns0:c r="A91" s="27" t="str">
        <ns0:f>IF(P90="Ongoing",A90+1,"")</ns0:f>
        <ns0:v/>
      </ns0:c>
      <ns0:c r="B91" s="28" t="str">
        <ns0:f>IF(A91="","",IF(MOD(A91,2)=1,$B$30,IF($B$30="A","B","A")))</ns0:f>
        <ns0:v/>
      </ns0:c>
      <ns0:c r="C91" s="27" t="str">
        <ns0:f>IF(A91="","",IF(A91&lt;=2,2,IF(A91&lt;=4,4,5)))</ns0:f>
        <ns0:v/>
      </ns0:c>
      <ns0:c r="D91" s="27" t="str">
        <ns0:f>IF(A91="","",IF(B91="A",I90,J90))</ns0:f>
        <ns0:v/>
      </ns0:c>
      <ns0:c r="E91" s="27" t="str">
        <ns0:f>IF(A91="","",IF(B91="A",$B$24,$C$24))</ns0:f>
        <ns0:v/>
      </ns0:c>
      <ns0:c r="F91" s="27" t="str">
        <ns0:f>IF(A91="","",IF(D91+E91&gt;=IF(B91="A",$B$17,$C$17),MIN(1,C91),0))</ns0:f>
        <ns0:v/>
      </ns0:c>
      <ns0:c r="G91" s="28" t="str">
        <ns0:f>IF(A91="","",IF(F91=1,"Normal Attack","Pass: insufficient AP"))</ns0:f>
        <ns0:v/>
      </ns0:c>
      <ns0:c r="H91" s="27" t="str">
        <ns0:f>IF(A91="","",IF(F91=1,IF(B91="A",$B$16,$C$16),0))</ns0:f>
        <ns0:v/>
      </ns0:c>
      <ns0:c r="I91" s="27" t="str">
        <ns0:f>IF(A91="","",I90+IF(B91="A",E91-H91,0))</ns0:f>
        <ns0:v/>
      </ns0:c>
      <ns0:c r="J91" s="27" t="str">
        <ns0:f>IF(A91="","",J90+IF(B91="B",E91-H91,0))</ns0:f>
        <ns0:v/>
      </ns0:c>
      <ns0:c r="K91" s="27" t="str">
        <ns0:f>IF(A91="","",IF(F91=1,IF(B91="A",MIN($B$26,M90),MIN($C$26,L90)),0))</ns0:f>
        <ns0:v/>
      </ns0:c>
      <ns0:c r="L91" s="27" t="str">
        <ns0:f>IF(A91="","",MAX(0,L90-IF(B91="B",K91,0)))</ns0:f>
        <ns0:v/>
      </ns0:c>
      <ns0:c r="M91" s="27" t="str">
        <ns0:f>IF(A91="","",MAX(0,M90-IF(B91="A",K91,0)))</ns0:f>
        <ns0:v/>
      </ns0:c>
      <ns0:c r="N91" s="27" t="str">
        <ns0:f>IF(A91="","",N90+IF(AND(B91="A",F91=1),1,0))</ns0:f>
        <ns0:v/>
      </ns0:c>
      <ns0:c r="O91" s="27" t="str">
        <ns0:f>IF(A91="","",O90+IF(AND(B91="B",F91=1),1,0))</ns0:f>
        <ns0:v/>
      </ns0:c>
      <ns0:c r="P91" s="28" t="str">
        <ns0:f>IF(A91="","",IF(L91&lt;=0,"B Wins",IF(M91&lt;=0,"A Wins","Ongoing")))</ns0:f>
        <ns0:v/>
      </ns0:c>
    </ns0:row>
    <ns0:row r="92" ht="24" customHeight="1" s="4">
      <ns0:c r="A92" s="29" t="str">
        <ns0:f>IF(P91="Ongoing",A91+1,"")</ns0:f>
        <ns0:v/>
      </ns0:c>
      <ns0:c r="B92" s="30" t="str">
        <ns0:f>IF(A92="","",IF(MOD(A92,2)=1,$B$30,IF($B$30="A","B","A")))</ns0:f>
        <ns0:v/>
      </ns0:c>
      <ns0:c r="C92" s="29" t="str">
        <ns0:f>IF(A92="","",IF(A92&lt;=2,2,IF(A92&lt;=4,4,5)))</ns0:f>
        <ns0:v/>
      </ns0:c>
      <ns0:c r="D92" s="29" t="str">
        <ns0:f>IF(A92="","",IF(B92="A",I91,J91))</ns0:f>
        <ns0:v/>
      </ns0:c>
      <ns0:c r="E92" s="29" t="str">
        <ns0:f>IF(A92="","",IF(B92="A",$B$24,$C$24))</ns0:f>
        <ns0:v/>
      </ns0:c>
      <ns0:c r="F92" s="29" t="str">
        <ns0:f>IF(A92="","",IF(D92+E92&gt;=IF(B92="A",$B$17,$C$17),MIN(1,C92),0))</ns0:f>
        <ns0:v/>
      </ns0:c>
      <ns0:c r="G92" s="30" t="str">
        <ns0:f>IF(A92="","",IF(F92=1,"Normal Attack","Pass: insufficient AP"))</ns0:f>
        <ns0:v/>
      </ns0:c>
      <ns0:c r="H92" s="29" t="str">
        <ns0:f>IF(A92="","",IF(F92=1,IF(B92="A",$B$16,$C$16),0))</ns0:f>
        <ns0:v/>
      </ns0:c>
      <ns0:c r="I92" s="29" t="str">
        <ns0:f>IF(A92="","",I91+IF(B92="A",E92-H92,0))</ns0:f>
        <ns0:v/>
      </ns0:c>
      <ns0:c r="J92" s="29" t="str">
        <ns0:f>IF(A92="","",J91+IF(B92="B",E92-H92,0))</ns0:f>
        <ns0:v/>
      </ns0:c>
      <ns0:c r="K92" s="29" t="str">
        <ns0:f>IF(A92="","",IF(F92=1,IF(B92="A",MIN($B$26,M91),MIN($C$26,L91)),0))</ns0:f>
        <ns0:v/>
      </ns0:c>
      <ns0:c r="L92" s="29" t="str">
        <ns0:f>IF(A92="","",MAX(0,L91-IF(B92="B",K92,0)))</ns0:f>
        <ns0:v/>
      </ns0:c>
      <ns0:c r="M92" s="29" t="str">
        <ns0:f>IF(A92="","",MAX(0,M91-IF(B92="A",K92,0)))</ns0:f>
        <ns0:v/>
      </ns0:c>
      <ns0:c r="N92" s="29" t="str">
        <ns0:f>IF(A92="","",N91+IF(AND(B92="A",F92=1),1,0))</ns0:f>
        <ns0:v/>
      </ns0:c>
      <ns0:c r="O92" s="29" t="str">
        <ns0:f>IF(A92="","",O91+IF(AND(B92="B",F92=1),1,0))</ns0:f>
        <ns0:v/>
      </ns0:c>
      <ns0:c r="P92" s="30" t="str">
        <ns0:f>IF(A92="","",IF(L92&lt;=0,"B Wins",IF(M92&lt;=0,"A Wins","Ongoing")))</ns0:f>
        <ns0:v/>
      </ns0:c>
    </ns0:row>
    <ns0:row r="93" ht="24" customHeight="1" s="4">
      <ns0:c r="A93" s="27" t="str">
        <ns0:f>IF(P92="Ongoing",A92+1,"")</ns0:f>
        <ns0:v/>
      </ns0:c>
      <ns0:c r="B93" s="28" t="str">
        <ns0:f>IF(A93="","",IF(MOD(A93,2)=1,$B$30,IF($B$30="A","B","A")))</ns0:f>
        <ns0:v/>
      </ns0:c>
      <ns0:c r="C93" s="27" t="str">
        <ns0:f>IF(A93="","",IF(A93&lt;=2,2,IF(A93&lt;=4,4,5)))</ns0:f>
        <ns0:v/>
      </ns0:c>
      <ns0:c r="D93" s="27" t="str">
        <ns0:f>IF(A93="","",IF(B93="A",I92,J92))</ns0:f>
        <ns0:v/>
      </ns0:c>
      <ns0:c r="E93" s="27" t="str">
        <ns0:f>IF(A93="","",IF(B93="A",$B$24,$C$24))</ns0:f>
        <ns0:v/>
      </ns0:c>
      <ns0:c r="F93" s="27" t="str">
        <ns0:f>IF(A93="","",IF(D93+E93&gt;=IF(B93="A",$B$17,$C$17),MIN(1,C93),0))</ns0:f>
        <ns0:v/>
      </ns0:c>
      <ns0:c r="G93" s="28" t="str">
        <ns0:f>IF(A93="","",IF(F93=1,"Normal Attack","Pass: insufficient AP"))</ns0:f>
        <ns0:v/>
      </ns0:c>
      <ns0:c r="H93" s="27" t="str">
        <ns0:f>IF(A93="","",IF(F93=1,IF(B93="A",$B$16,$C$16),0))</ns0:f>
        <ns0:v/>
      </ns0:c>
      <ns0:c r="I93" s="27" t="str">
        <ns0:f>IF(A93="","",I92+IF(B93="A",E93-H93,0))</ns0:f>
        <ns0:v/>
      </ns0:c>
      <ns0:c r="J93" s="27" t="str">
        <ns0:f>IF(A93="","",J92+IF(B93="B",E93-H93,0))</ns0:f>
        <ns0:v/>
      </ns0:c>
      <ns0:c r="K93" s="27" t="str">
        <ns0:f>IF(A93="","",IF(F93=1,IF(B93="A",MIN($B$26,M92),MIN($C$26,L92)),0))</ns0:f>
        <ns0:v/>
      </ns0:c>
      <ns0:c r="L93" s="27" t="str">
        <ns0:f>IF(A93="","",MAX(0,L92-IF(B93="B",K93,0)))</ns0:f>
        <ns0:v/>
      </ns0:c>
      <ns0:c r="M93" s="27" t="str">
        <ns0:f>IF(A93="","",MAX(0,M92-IF(B93="A",K93,0)))</ns0:f>
        <ns0:v/>
      </ns0:c>
      <ns0:c r="N93" s="27" t="str">
        <ns0:f>IF(A93="","",N92+IF(AND(B93="A",F93=1),1,0))</ns0:f>
        <ns0:v/>
      </ns0:c>
      <ns0:c r="O93" s="27" t="str">
        <ns0:f>IF(A93="","",O92+IF(AND(B93="B",F93=1),1,0))</ns0:f>
        <ns0:v/>
      </ns0:c>
      <ns0:c r="P93" s="28" t="str">
        <ns0:f>IF(A93="","",IF(L93&lt;=0,"B Wins",IF(M93&lt;=0,"A Wins","Ongoing")))</ns0:f>
        <ns0:v/>
      </ns0:c>
    </ns0:row>
    <ns0:row r="94" ht="24" customHeight="1" s="4">
      <ns0:c r="A94" s="29" t="str">
        <ns0:f>IF(P93="Ongoing",A93+1,"")</ns0:f>
        <ns0:v/>
      </ns0:c>
      <ns0:c r="B94" s="30" t="str">
        <ns0:f>IF(A94="","",IF(MOD(A94,2)=1,$B$30,IF($B$30="A","B","A")))</ns0:f>
        <ns0:v/>
      </ns0:c>
      <ns0:c r="C94" s="29" t="str">
        <ns0:f>IF(A94="","",IF(A94&lt;=2,2,IF(A94&lt;=4,4,5)))</ns0:f>
        <ns0:v/>
      </ns0:c>
      <ns0:c r="D94" s="29" t="str">
        <ns0:f>IF(A94="","",IF(B94="A",I93,J93))</ns0:f>
        <ns0:v/>
      </ns0:c>
      <ns0:c r="E94" s="29" t="str">
        <ns0:f>IF(A94="","",IF(B94="A",$B$24,$C$24))</ns0:f>
        <ns0:v/>
      </ns0:c>
      <ns0:c r="F94" s="29" t="str">
        <ns0:f>IF(A94="","",IF(D94+E94&gt;=IF(B94="A",$B$17,$C$17),MIN(1,C94),0))</ns0:f>
        <ns0:v/>
      </ns0:c>
      <ns0:c r="G94" s="30" t="str">
        <ns0:f>IF(A94="","",IF(F94=1,"Normal Attack","Pass: insufficient AP"))</ns0:f>
        <ns0:v/>
      </ns0:c>
      <ns0:c r="H94" s="29" t="str">
        <ns0:f>IF(A94="","",IF(F94=1,IF(B94="A",$B$16,$C$16),0))</ns0:f>
        <ns0:v/>
      </ns0:c>
      <ns0:c r="I94" s="29" t="str">
        <ns0:f>IF(A94="","",I93+IF(B94="A",E94-H94,0))</ns0:f>
        <ns0:v/>
      </ns0:c>
      <ns0:c r="J94" s="29" t="str">
        <ns0:f>IF(A94="","",J93+IF(B94="B",E94-H94,0))</ns0:f>
        <ns0:v/>
      </ns0:c>
      <ns0:c r="K94" s="29" t="str">
        <ns0:f>IF(A94="","",IF(F94=1,IF(B94="A",MIN($B$26,M93),MIN($C$26,L93)),0))</ns0:f>
        <ns0:v/>
      </ns0:c>
      <ns0:c r="L94" s="29" t="str">
        <ns0:f>IF(A94="","",MAX(0,L93-IF(B94="B",K94,0)))</ns0:f>
        <ns0:v/>
      </ns0:c>
      <ns0:c r="M94" s="29" t="str">
        <ns0:f>IF(A94="","",MAX(0,M93-IF(B94="A",K94,0)))</ns0:f>
        <ns0:v/>
      </ns0:c>
      <ns0:c r="N94" s="29" t="str">
        <ns0:f>IF(A94="","",N93+IF(AND(B94="A",F94=1),1,0))</ns0:f>
        <ns0:v/>
      </ns0:c>
      <ns0:c r="O94" s="29" t="str">
        <ns0:f>IF(A94="","",O93+IF(AND(B94="B",F94=1),1,0))</ns0:f>
        <ns0:v/>
      </ns0:c>
      <ns0:c r="P94" s="30" t="str">
        <ns0:f>IF(A94="","",IF(L94&lt;=0,"B Wins",IF(M94&lt;=0,"A Wins","Ongoing")))</ns0:f>
        <ns0:v/>
      </ns0:c>
    </ns0:row>
    <ns0:row r="95" ht="24" customHeight="1" s="4">
      <ns0:c r="A95" s="27" t="str">
        <ns0:f>IF(P94="Ongoing",A94+1,"")</ns0:f>
        <ns0:v/>
      </ns0:c>
      <ns0:c r="B95" s="28" t="str">
        <ns0:f>IF(A95="","",IF(MOD(A95,2)=1,$B$30,IF($B$30="A","B","A")))</ns0:f>
        <ns0:v/>
      </ns0:c>
      <ns0:c r="C95" s="27" t="str">
        <ns0:f>IF(A95="","",IF(A95&lt;=2,2,IF(A95&lt;=4,4,5)))</ns0:f>
        <ns0:v/>
      </ns0:c>
      <ns0:c r="D95" s="27" t="str">
        <ns0:f>IF(A95="","",IF(B95="A",I94,J94))</ns0:f>
        <ns0:v/>
      </ns0:c>
      <ns0:c r="E95" s="27" t="str">
        <ns0:f>IF(A95="","",IF(B95="A",$B$24,$C$24))</ns0:f>
        <ns0:v/>
      </ns0:c>
      <ns0:c r="F95" s="27" t="str">
        <ns0:f>IF(A95="","",IF(D95+E95&gt;=IF(B95="A",$B$17,$C$17),MIN(1,C95),0))</ns0:f>
        <ns0:v/>
      </ns0:c>
      <ns0:c r="G95" s="28" t="str">
        <ns0:f>IF(A95="","",IF(F95=1,"Normal Attack","Pass: insufficient AP"))</ns0:f>
        <ns0:v/>
      </ns0:c>
      <ns0:c r="H95" s="27" t="str">
        <ns0:f>IF(A95="","",IF(F95=1,IF(B95="A",$B$16,$C$16),0))</ns0:f>
        <ns0:v/>
      </ns0:c>
      <ns0:c r="I95" s="27" t="str">
        <ns0:f>IF(A95="","",I94+IF(B95="A",E95-H95,0))</ns0:f>
        <ns0:v/>
      </ns0:c>
      <ns0:c r="J95" s="27" t="str">
        <ns0:f>IF(A95="","",J94+IF(B95="B",E95-H95,0))</ns0:f>
        <ns0:v/>
      </ns0:c>
      <ns0:c r="K95" s="27" t="str">
        <ns0:f>IF(A95="","",IF(F95=1,IF(B95="A",MIN($B$26,M94),MIN($C$26,L94)),0))</ns0:f>
        <ns0:v/>
      </ns0:c>
      <ns0:c r="L95" s="27" t="str">
        <ns0:f>IF(A95="","",MAX(0,L94-IF(B95="B",K95,0)))</ns0:f>
        <ns0:v/>
      </ns0:c>
      <ns0:c r="M95" s="27" t="str">
        <ns0:f>IF(A95="","",MAX(0,M94-IF(B95="A",K95,0)))</ns0:f>
        <ns0:v/>
      </ns0:c>
      <ns0:c r="N95" s="27" t="str">
        <ns0:f>IF(A95="","",N94+IF(AND(B95="A",F95=1),1,0))</ns0:f>
        <ns0:v/>
      </ns0:c>
      <ns0:c r="O95" s="27" t="str">
        <ns0:f>IF(A95="","",O94+IF(AND(B95="B",F95=1),1,0))</ns0:f>
        <ns0:v/>
      </ns0:c>
      <ns0:c r="P95" s="28" t="str">
        <ns0:f>IF(A95="","",IF(L95&lt;=0,"B Wins",IF(M95&lt;=0,"A Wins","Ongoing")))</ns0:f>
        <ns0:v/>
      </ns0:c>
    </ns0:row>
    <ns0:row r="96" ht="24" customHeight="1" s="4">
      <ns0:c r="A96" s="29" t="str">
        <ns0:f>IF(P95="Ongoing",A95+1,"")</ns0:f>
        <ns0:v/>
      </ns0:c>
      <ns0:c r="B96" s="30" t="str">
        <ns0:f>IF(A96="","",IF(MOD(A96,2)=1,$B$30,IF($B$30="A","B","A")))</ns0:f>
        <ns0:v/>
      </ns0:c>
      <ns0:c r="C96" s="29" t="str">
        <ns0:f>IF(A96="","",IF(A96&lt;=2,2,IF(A96&lt;=4,4,5)))</ns0:f>
        <ns0:v/>
      </ns0:c>
      <ns0:c r="D96" s="29" t="str">
        <ns0:f>IF(A96="","",IF(B96="A",I95,J95))</ns0:f>
        <ns0:v/>
      </ns0:c>
      <ns0:c r="E96" s="29" t="str">
        <ns0:f>IF(A96="","",IF(B96="A",$B$24,$C$24))</ns0:f>
        <ns0:v/>
      </ns0:c>
      <ns0:c r="F96" s="29" t="str">
        <ns0:f>IF(A96="","",IF(D96+E96&gt;=IF(B96="A",$B$17,$C$17),MIN(1,C96),0))</ns0:f>
        <ns0:v/>
      </ns0:c>
      <ns0:c r="G96" s="30" t="str">
        <ns0:f>IF(A96="","",IF(F96=1,"Normal Attack","Pass: insufficient AP"))</ns0:f>
        <ns0:v/>
      </ns0:c>
      <ns0:c r="H96" s="29" t="str">
        <ns0:f>IF(A96="","",IF(F96=1,IF(B96="A",$B$16,$C$16),0))</ns0:f>
        <ns0:v/>
      </ns0:c>
      <ns0:c r="I96" s="29" t="str">
        <ns0:f>IF(A96="","",I95+IF(B96="A",E96-H96,0))</ns0:f>
        <ns0:v/>
      </ns0:c>
      <ns0:c r="J96" s="29" t="str">
        <ns0:f>IF(A96="","",J95+IF(B96="B",E96-H96,0))</ns0:f>
        <ns0:v/>
      </ns0:c>
      <ns0:c r="K96" s="29" t="str">
        <ns0:f>IF(A96="","",IF(F96=1,IF(B96="A",MIN($B$26,M95),MIN($C$26,L95)),0))</ns0:f>
        <ns0:v/>
      </ns0:c>
      <ns0:c r="L96" s="29" t="str">
        <ns0:f>IF(A96="","",MAX(0,L95-IF(B96="B",K96,0)))</ns0:f>
        <ns0:v/>
      </ns0:c>
      <ns0:c r="M96" s="29" t="str">
        <ns0:f>IF(A96="","",MAX(0,M95-IF(B96="A",K96,0)))</ns0:f>
        <ns0:v/>
      </ns0:c>
      <ns0:c r="N96" s="29" t="str">
        <ns0:f>IF(A96="","",N95+IF(AND(B96="A",F96=1),1,0))</ns0:f>
        <ns0:v/>
      </ns0:c>
      <ns0:c r="O96" s="29" t="str">
        <ns0:f>IF(A96="","",O95+IF(AND(B96="B",F96=1),1,0))</ns0:f>
        <ns0:v/>
      </ns0:c>
      <ns0:c r="P96" s="30" t="str">
        <ns0:f>IF(A96="","",IF(L96&lt;=0,"B Wins",IF(M96&lt;=0,"A Wins","Ongoing")))</ns0:f>
        <ns0:v/>
      </ns0:c>
    </ns0:row>
    <ns0:row r="97" ht="24" customHeight="1" s="4">
      <ns0:c r="A97" s="27" t="str">
        <ns0:f>IF(P96="Ongoing",A96+1,"")</ns0:f>
        <ns0:v/>
      </ns0:c>
      <ns0:c r="B97" s="28" t="str">
        <ns0:f>IF(A97="","",IF(MOD(A97,2)=1,$B$30,IF($B$30="A","B","A")))</ns0:f>
        <ns0:v/>
      </ns0:c>
      <ns0:c r="C97" s="27" t="str">
        <ns0:f>IF(A97="","",IF(A97&lt;=2,2,IF(A97&lt;=4,4,5)))</ns0:f>
        <ns0:v/>
      </ns0:c>
      <ns0:c r="D97" s="27" t="str">
        <ns0:f>IF(A97="","",IF(B97="A",I96,J96))</ns0:f>
        <ns0:v/>
      </ns0:c>
      <ns0:c r="E97" s="27" t="str">
        <ns0:f>IF(A97="","",IF(B97="A",$B$24,$C$24))</ns0:f>
        <ns0:v/>
      </ns0:c>
      <ns0:c r="F97" s="27" t="str">
        <ns0:f>IF(A97="","",IF(D97+E97&gt;=IF(B97="A",$B$17,$C$17),MIN(1,C97),0))</ns0:f>
        <ns0:v/>
      </ns0:c>
      <ns0:c r="G97" s="28" t="str">
        <ns0:f>IF(A97="","",IF(F97=1,"Normal Attack","Pass: insufficient AP"))</ns0:f>
        <ns0:v/>
      </ns0:c>
      <ns0:c r="H97" s="27" t="str">
        <ns0:f>IF(A97="","",IF(F97=1,IF(B97="A",$B$16,$C$16),0))</ns0:f>
        <ns0:v/>
      </ns0:c>
      <ns0:c r="I97" s="27" t="str">
        <ns0:f>IF(A97="","",I96+IF(B97="A",E97-H97,0))</ns0:f>
        <ns0:v/>
      </ns0:c>
      <ns0:c r="J97" s="27" t="str">
        <ns0:f>IF(A97="","",J96+IF(B97="B",E97-H97,0))</ns0:f>
        <ns0:v/>
      </ns0:c>
      <ns0:c r="K97" s="27" t="str">
        <ns0:f>IF(A97="","",IF(F97=1,IF(B97="A",MIN($B$26,M96),MIN($C$26,L96)),0))</ns0:f>
        <ns0:v/>
      </ns0:c>
      <ns0:c r="L97" s="27" t="str">
        <ns0:f>IF(A97="","",MAX(0,L96-IF(B97="B",K97,0)))</ns0:f>
        <ns0:v/>
      </ns0:c>
      <ns0:c r="M97" s="27" t="str">
        <ns0:f>IF(A97="","",MAX(0,M96-IF(B97="A",K97,0)))</ns0:f>
        <ns0:v/>
      </ns0:c>
      <ns0:c r="N97" s="27" t="str">
        <ns0:f>IF(A97="","",N96+IF(AND(B97="A",F97=1),1,0))</ns0:f>
        <ns0:v/>
      </ns0:c>
      <ns0:c r="O97" s="27" t="str">
        <ns0:f>IF(A97="","",O96+IF(AND(B97="B",F97=1),1,0))</ns0:f>
        <ns0:v/>
      </ns0:c>
      <ns0:c r="P97" s="28" t="str">
        <ns0:f>IF(A97="","",IF(L97&lt;=0,"B Wins",IF(M97&lt;=0,"A Wins","Ongoing")))</ns0:f>
        <ns0:v/>
      </ns0:c>
    </ns0:row>
    <ns0:row r="98" ht="24" customHeight="1" s="4">
      <ns0:c r="A98" s="29" t="str">
        <ns0:f>IF(P97="Ongoing",A97+1,"")</ns0:f>
        <ns0:v/>
      </ns0:c>
      <ns0:c r="B98" s="30" t="str">
        <ns0:f>IF(A98="","",IF(MOD(A98,2)=1,$B$30,IF($B$30="A","B","A")))</ns0:f>
        <ns0:v/>
      </ns0:c>
      <ns0:c r="C98" s="29" t="str">
        <ns0:f>IF(A98="","",IF(A98&lt;=2,2,IF(A98&lt;=4,4,5)))</ns0:f>
        <ns0:v/>
      </ns0:c>
      <ns0:c r="D98" s="29" t="str">
        <ns0:f>IF(A98="","",IF(B98="A",I97,J97))</ns0:f>
        <ns0:v/>
      </ns0:c>
      <ns0:c r="E98" s="29" t="str">
        <ns0:f>IF(A98="","",IF(B98="A",$B$24,$C$24))</ns0:f>
        <ns0:v/>
      </ns0:c>
      <ns0:c r="F98" s="29" t="str">
        <ns0:f>IF(A98="","",IF(D98+E98&gt;=IF(B98="A",$B$17,$C$17),MIN(1,C98),0))</ns0:f>
        <ns0:v/>
      </ns0:c>
      <ns0:c r="G98" s="30" t="str">
        <ns0:f>IF(A98="","",IF(F98=1,"Normal Attack","Pass: insufficient AP"))</ns0:f>
        <ns0:v/>
      </ns0:c>
      <ns0:c r="H98" s="29" t="str">
        <ns0:f>IF(A98="","",IF(F98=1,IF(B98="A",$B$16,$C$16),0))</ns0:f>
        <ns0:v/>
      </ns0:c>
      <ns0:c r="I98" s="29" t="str">
        <ns0:f>IF(A98="","",I97+IF(B98="A",E98-H98,0))</ns0:f>
        <ns0:v/>
      </ns0:c>
      <ns0:c r="J98" s="29" t="str">
        <ns0:f>IF(A98="","",J97+IF(B98="B",E98-H98,0))</ns0:f>
        <ns0:v/>
      </ns0:c>
      <ns0:c r="K98" s="29" t="str">
        <ns0:f>IF(A98="","",IF(F98=1,IF(B98="A",MIN($B$26,M97),MIN($C$26,L97)),0))</ns0:f>
        <ns0:v/>
      </ns0:c>
      <ns0:c r="L98" s="29" t="str">
        <ns0:f>IF(A98="","",MAX(0,L97-IF(B98="B",K98,0)))</ns0:f>
        <ns0:v/>
      </ns0:c>
      <ns0:c r="M98" s="29" t="str">
        <ns0:f>IF(A98="","",MAX(0,M97-IF(B98="A",K98,0)))</ns0:f>
        <ns0:v/>
      </ns0:c>
      <ns0:c r="N98" s="29" t="str">
        <ns0:f>IF(A98="","",N97+IF(AND(B98="A",F98=1),1,0))</ns0:f>
        <ns0:v/>
      </ns0:c>
      <ns0:c r="O98" s="29" t="str">
        <ns0:f>IF(A98="","",O97+IF(AND(B98="B",F98=1),1,0))</ns0:f>
        <ns0:v/>
      </ns0:c>
      <ns0:c r="P98" s="30" t="str">
        <ns0:f>IF(A98="","",IF(L98&lt;=0,"B Wins",IF(M98&lt;=0,"A Wins","Ongoing")))</ns0:f>
        <ns0:v/>
      </ns0:c>
    </ns0:row>
    <ns0:row r="99" ht="24" customHeight="1" s="4">
      <ns0:c r="A99" s="27" t="str">
        <ns0:f>IF(P98="Ongoing",A98+1,"")</ns0:f>
        <ns0:v/>
      </ns0:c>
      <ns0:c r="B99" s="28" t="str">
        <ns0:f>IF(A99="","",IF(MOD(A99,2)=1,$B$30,IF($B$30="A","B","A")))</ns0:f>
        <ns0:v/>
      </ns0:c>
      <ns0:c r="C99" s="27" t="str">
        <ns0:f>IF(A99="","",IF(A99&lt;=2,2,IF(A99&lt;=4,4,5)))</ns0:f>
        <ns0:v/>
      </ns0:c>
      <ns0:c r="D99" s="27" t="str">
        <ns0:f>IF(A99="","",IF(B99="A",I98,J98))</ns0:f>
        <ns0:v/>
      </ns0:c>
      <ns0:c r="E99" s="27" t="str">
        <ns0:f>IF(A99="","",IF(B99="A",$B$24,$C$24))</ns0:f>
        <ns0:v/>
      </ns0:c>
      <ns0:c r="F99" s="27" t="str">
        <ns0:f>IF(A99="","",IF(D99+E99&gt;=IF(B99="A",$B$17,$C$17),MIN(1,C99),0))</ns0:f>
        <ns0:v/>
      </ns0:c>
      <ns0:c r="G99" s="28" t="str">
        <ns0:f>IF(A99="","",IF(F99=1,"Normal Attack","Pass: insufficient AP"))</ns0:f>
        <ns0:v/>
      </ns0:c>
      <ns0:c r="H99" s="27" t="str">
        <ns0:f>IF(A99="","",IF(F99=1,IF(B99="A",$B$16,$C$16),0))</ns0:f>
        <ns0:v/>
      </ns0:c>
      <ns0:c r="I99" s="27" t="str">
        <ns0:f>IF(A99="","",I98+IF(B99="A",E99-H99,0))</ns0:f>
        <ns0:v/>
      </ns0:c>
      <ns0:c r="J99" s="27" t="str">
        <ns0:f>IF(A99="","",J98+IF(B99="B",E99-H99,0))</ns0:f>
        <ns0:v/>
      </ns0:c>
      <ns0:c r="K99" s="27" t="str">
        <ns0:f>IF(A99="","",IF(F99=1,IF(B99="A",MIN($B$26,M98),MIN($C$26,L98)),0))</ns0:f>
        <ns0:v/>
      </ns0:c>
      <ns0:c r="L99" s="27" t="str">
        <ns0:f>IF(A99="","",MAX(0,L98-IF(B99="B",K99,0)))</ns0:f>
        <ns0:v/>
      </ns0:c>
      <ns0:c r="M99" s="27" t="str">
        <ns0:f>IF(A99="","",MAX(0,M98-IF(B99="A",K99,0)))</ns0:f>
        <ns0:v/>
      </ns0:c>
      <ns0:c r="N99" s="27" t="str">
        <ns0:f>IF(A99="","",N98+IF(AND(B99="A",F99=1),1,0))</ns0:f>
        <ns0:v/>
      </ns0:c>
      <ns0:c r="O99" s="27" t="str">
        <ns0:f>IF(A99="","",O98+IF(AND(B99="B",F99=1),1,0))</ns0:f>
        <ns0:v/>
      </ns0:c>
      <ns0:c r="P99" s="28" t="str">
        <ns0:f>IF(A99="","",IF(L99&lt;=0,"B Wins",IF(M99&lt;=0,"A Wins","Ongoing")))</ns0:f>
        <ns0:v/>
      </ns0:c>
    </ns0:row>
    <ns0:row r="100" ht="24" customHeight="1" s="4">
      <ns0:c r="A100" s="29" t="str">
        <ns0:f>IF(P99="Ongoing",A99+1,"")</ns0:f>
        <ns0:v/>
      </ns0:c>
      <ns0:c r="B100" s="30" t="str">
        <ns0:f>IF(A100="","",IF(MOD(A100,2)=1,$B$30,IF($B$30="A","B","A")))</ns0:f>
        <ns0:v/>
      </ns0:c>
      <ns0:c r="C100" s="29" t="str">
        <ns0:f>IF(A100="","",IF(A100&lt;=2,2,IF(A100&lt;=4,4,5)))</ns0:f>
        <ns0:v/>
      </ns0:c>
      <ns0:c r="D100" s="29" t="str">
        <ns0:f>IF(A100="","",IF(B100="A",I99,J99))</ns0:f>
        <ns0:v/>
      </ns0:c>
      <ns0:c r="E100" s="29" t="str">
        <ns0:f>IF(A100="","",IF(B100="A",$B$24,$C$24))</ns0:f>
        <ns0:v/>
      </ns0:c>
      <ns0:c r="F100" s="29" t="str">
        <ns0:f>IF(A100="","",IF(D100+E100&gt;=IF(B100="A",$B$17,$C$17),MIN(1,C100),0))</ns0:f>
        <ns0:v/>
      </ns0:c>
      <ns0:c r="G100" s="30" t="str">
        <ns0:f>IF(A100="","",IF(F100=1,"Normal Attack","Pass: insufficient AP"))</ns0:f>
        <ns0:v/>
      </ns0:c>
      <ns0:c r="H100" s="29" t="str">
        <ns0:f>IF(A100="","",IF(F100=1,IF(B100="A",$B$16,$C$16),0))</ns0:f>
        <ns0:v/>
      </ns0:c>
      <ns0:c r="I100" s="29" t="str">
        <ns0:f>IF(A100="","",I99+IF(B100="A",E100-H100,0))</ns0:f>
        <ns0:v/>
      </ns0:c>
      <ns0:c r="J100" s="29" t="str">
        <ns0:f>IF(A100="","",J99+IF(B100="B",E100-H100,0))</ns0:f>
        <ns0:v/>
      </ns0:c>
      <ns0:c r="K100" s="29" t="str">
        <ns0:f>IF(A100="","",IF(F100=1,IF(B100="A",MIN($B$26,M99),MIN($C$26,L99)),0))</ns0:f>
        <ns0:v/>
      </ns0:c>
      <ns0:c r="L100" s="29" t="str">
        <ns0:f>IF(A100="","",MAX(0,L99-IF(B100="B",K100,0)))</ns0:f>
        <ns0:v/>
      </ns0:c>
      <ns0:c r="M100" s="29" t="str">
        <ns0:f>IF(A100="","",MAX(0,M99-IF(B100="A",K100,0)))</ns0:f>
        <ns0:v/>
      </ns0:c>
      <ns0:c r="N100" s="29" t="str">
        <ns0:f>IF(A100="","",N99+IF(AND(B100="A",F100=1),1,0))</ns0:f>
        <ns0:v/>
      </ns0:c>
      <ns0:c r="O100" s="29" t="str">
        <ns0:f>IF(A100="","",O99+IF(AND(B100="B",F100=1),1,0))</ns0:f>
        <ns0:v/>
      </ns0:c>
      <ns0:c r="P100" s="30" t="str">
        <ns0:f>IF(A100="","",IF(L100&lt;=0,"B Wins",IF(M100&lt;=0,"A Wins","Ongoing")))</ns0:f>
        <ns0:v/>
      </ns0:c>
    </ns0:row>
    <ns0:row r="101" ht="24" customHeight="1" s="4">
      <ns0:c r="A101" s="27" t="str">
        <ns0:f>IF(P100="Ongoing",A100+1,"")</ns0:f>
        <ns0:v/>
      </ns0:c>
      <ns0:c r="B101" s="28" t="str">
        <ns0:f>IF(A101="","",IF(MOD(A101,2)=1,$B$30,IF($B$30="A","B","A")))</ns0:f>
        <ns0:v/>
      </ns0:c>
      <ns0:c r="C101" s="27" t="str">
        <ns0:f>IF(A101="","",IF(A101&lt;=2,2,IF(A101&lt;=4,4,5)))</ns0:f>
        <ns0:v/>
      </ns0:c>
      <ns0:c r="D101" s="27" t="str">
        <ns0:f>IF(A101="","",IF(B101="A",I100,J100))</ns0:f>
        <ns0:v/>
      </ns0:c>
      <ns0:c r="E101" s="27" t="str">
        <ns0:f>IF(A101="","",IF(B101="A",$B$24,$C$24))</ns0:f>
        <ns0:v/>
      </ns0:c>
      <ns0:c r="F101" s="27" t="str">
        <ns0:f>IF(A101="","",IF(D101+E101&gt;=IF(B101="A",$B$17,$C$17),MIN(1,C101),0))</ns0:f>
        <ns0:v/>
      </ns0:c>
      <ns0:c r="G101" s="28" t="str">
        <ns0:f>IF(A101="","",IF(F101=1,"Normal Attack","Pass: insufficient AP"))</ns0:f>
        <ns0:v/>
      </ns0:c>
      <ns0:c r="H101" s="27" t="str">
        <ns0:f>IF(A101="","",IF(F101=1,IF(B101="A",$B$16,$C$16),0))</ns0:f>
        <ns0:v/>
      </ns0:c>
      <ns0:c r="I101" s="27" t="str">
        <ns0:f>IF(A101="","",I100+IF(B101="A",E101-H101,0))</ns0:f>
        <ns0:v/>
      </ns0:c>
      <ns0:c r="J101" s="27" t="str">
        <ns0:f>IF(A101="","",J100+IF(B101="B",E101-H101,0))</ns0:f>
        <ns0:v/>
      </ns0:c>
      <ns0:c r="K101" s="27" t="str">
        <ns0:f>IF(A101="","",IF(F101=1,IF(B101="A",MIN($B$26,M100),MIN($C$26,L100)),0))</ns0:f>
        <ns0:v/>
      </ns0:c>
      <ns0:c r="L101" s="27" t="str">
        <ns0:f>IF(A101="","",MAX(0,L100-IF(B101="B",K101,0)))</ns0:f>
        <ns0:v/>
      </ns0:c>
      <ns0:c r="M101" s="27" t="str">
        <ns0:f>IF(A101="","",MAX(0,M100-IF(B101="A",K101,0)))</ns0:f>
        <ns0:v/>
      </ns0:c>
      <ns0:c r="N101" s="27" t="str">
        <ns0:f>IF(A101="","",N100+IF(AND(B101="A",F101=1),1,0))</ns0:f>
        <ns0:v/>
      </ns0:c>
      <ns0:c r="O101" s="27" t="str">
        <ns0:f>IF(A101="","",O100+IF(AND(B101="B",F101=1),1,0))</ns0:f>
        <ns0:v/>
      </ns0:c>
      <ns0:c r="P101" s="28" t="str">
        <ns0:f>IF(A101="","",IF(L101&lt;=0,"B Wins",IF(M101&lt;=0,"A Wins","Ongoing")))</ns0:f>
        <ns0:v/>
      </ns0:c>
    </ns0:row>
    <ns0:row r="102" ht="24" customHeight="1" s="4">
      <ns0:c r="A102" s="29" t="str">
        <ns0:f>IF(P101="Ongoing",A101+1,"")</ns0:f>
        <ns0:v/>
      </ns0:c>
      <ns0:c r="B102" s="30" t="str">
        <ns0:f>IF(A102="","",IF(MOD(A102,2)=1,$B$30,IF($B$30="A","B","A")))</ns0:f>
        <ns0:v/>
      </ns0:c>
      <ns0:c r="C102" s="29" t="str">
        <ns0:f>IF(A102="","",IF(A102&lt;=2,2,IF(A102&lt;=4,4,5)))</ns0:f>
        <ns0:v/>
      </ns0:c>
      <ns0:c r="D102" s="29" t="str">
        <ns0:f>IF(A102="","",IF(B102="A",I101,J101))</ns0:f>
        <ns0:v/>
      </ns0:c>
      <ns0:c r="E102" s="29" t="str">
        <ns0:f>IF(A102="","",IF(B102="A",$B$24,$C$24))</ns0:f>
        <ns0:v/>
      </ns0:c>
      <ns0:c r="F102" s="29" t="str">
        <ns0:f>IF(A102="","",IF(D102+E102&gt;=IF(B102="A",$B$17,$C$17),MIN(1,C102),0))</ns0:f>
        <ns0:v/>
      </ns0:c>
      <ns0:c r="G102" s="30" t="str">
        <ns0:f>IF(A102="","",IF(F102=1,"Normal Attack","Pass: insufficient AP"))</ns0:f>
        <ns0:v/>
      </ns0:c>
      <ns0:c r="H102" s="29" t="str">
        <ns0:f>IF(A102="","",IF(F102=1,IF(B102="A",$B$16,$C$16),0))</ns0:f>
        <ns0:v/>
      </ns0:c>
      <ns0:c r="I102" s="29" t="str">
        <ns0:f>IF(A102="","",I101+IF(B102="A",E102-H102,0))</ns0:f>
        <ns0:v/>
      </ns0:c>
      <ns0:c r="J102" s="29" t="str">
        <ns0:f>IF(A102="","",J101+IF(B102="B",E102-H102,0))</ns0:f>
        <ns0:v/>
      </ns0:c>
      <ns0:c r="K102" s="29" t="str">
        <ns0:f>IF(A102="","",IF(F102=1,IF(B102="A",MIN($B$26,M101),MIN($C$26,L101)),0))</ns0:f>
        <ns0:v/>
      </ns0:c>
      <ns0:c r="L102" s="29" t="str">
        <ns0:f>IF(A102="","",MAX(0,L101-IF(B102="B",K102,0)))</ns0:f>
        <ns0:v/>
      </ns0:c>
      <ns0:c r="M102" s="29" t="str">
        <ns0:f>IF(A102="","",MAX(0,M101-IF(B102="A",K102,0)))</ns0:f>
        <ns0:v/>
      </ns0:c>
      <ns0:c r="N102" s="29" t="str">
        <ns0:f>IF(A102="","",N101+IF(AND(B102="A",F102=1),1,0))</ns0:f>
        <ns0:v/>
      </ns0:c>
      <ns0:c r="O102" s="29" t="str">
        <ns0:f>IF(A102="","",O101+IF(AND(B102="B",F102=1),1,0))</ns0:f>
        <ns0:v/>
      </ns0:c>
      <ns0:c r="P102" s="30" t="str">
        <ns0:f>IF(A102="","",IF(L102&lt;=0,"B Wins",IF(M102&lt;=0,"A Wins","Ongoing")))</ns0:f>
        <ns0:v/>
      </ns0:c>
    </ns0:row>
    <ns0:row r="103" ht="24" customHeight="1" s="4">
      <ns0:c r="A103" s="27" t="str">
        <ns0:f>IF(P102="Ongoing",A102+1,"")</ns0:f>
        <ns0:v/>
      </ns0:c>
      <ns0:c r="B103" s="28" t="str">
        <ns0:f>IF(A103="","",IF(MOD(A103,2)=1,$B$30,IF($B$30="A","B","A")))</ns0:f>
        <ns0:v/>
      </ns0:c>
      <ns0:c r="C103" s="27" t="str">
        <ns0:f>IF(A103="","",IF(A103&lt;=2,2,IF(A103&lt;=4,4,5)))</ns0:f>
        <ns0:v/>
      </ns0:c>
      <ns0:c r="D103" s="27" t="str">
        <ns0:f>IF(A103="","",IF(B103="A",I102,J102))</ns0:f>
        <ns0:v/>
      </ns0:c>
      <ns0:c r="E103" s="27" t="str">
        <ns0:f>IF(A103="","",IF(B103="A",$B$24,$C$24))</ns0:f>
        <ns0:v/>
      </ns0:c>
      <ns0:c r="F103" s="27" t="str">
        <ns0:f>IF(A103="","",IF(D103+E103&gt;=IF(B103="A",$B$17,$C$17),MIN(1,C103),0))</ns0:f>
        <ns0:v/>
      </ns0:c>
      <ns0:c r="G103" s="28" t="str">
        <ns0:f>IF(A103="","",IF(F103=1,"Normal Attack","Pass: insufficient AP"))</ns0:f>
        <ns0:v/>
      </ns0:c>
      <ns0:c r="H103" s="27" t="str">
        <ns0:f>IF(A103="","",IF(F103=1,IF(B103="A",$B$16,$C$16),0))</ns0:f>
        <ns0:v/>
      </ns0:c>
      <ns0:c r="I103" s="27" t="str">
        <ns0:f>IF(A103="","",I102+IF(B103="A",E103-H103,0))</ns0:f>
        <ns0:v/>
      </ns0:c>
      <ns0:c r="J103" s="27" t="str">
        <ns0:f>IF(A103="","",J102+IF(B103="B",E103-H103,0))</ns0:f>
        <ns0:v/>
      </ns0:c>
      <ns0:c r="K103" s="27" t="str">
        <ns0:f>IF(A103="","",IF(F103=1,IF(B103="A",MIN($B$26,M102),MIN($C$26,L102)),0))</ns0:f>
        <ns0:v/>
      </ns0:c>
      <ns0:c r="L103" s="27" t="str">
        <ns0:f>IF(A103="","",MAX(0,L102-IF(B103="B",K103,0)))</ns0:f>
        <ns0:v/>
      </ns0:c>
      <ns0:c r="M103" s="27" t="str">
        <ns0:f>IF(A103="","",MAX(0,M102-IF(B103="A",K103,0)))</ns0:f>
        <ns0:v/>
      </ns0:c>
      <ns0:c r="N103" s="27" t="str">
        <ns0:f>IF(A103="","",N102+IF(AND(B103="A",F103=1),1,0))</ns0:f>
        <ns0:v/>
      </ns0:c>
      <ns0:c r="O103" s="27" t="str">
        <ns0:f>IF(A103="","",O102+IF(AND(B103="B",F103=1),1,0))</ns0:f>
        <ns0:v/>
      </ns0:c>
      <ns0:c r="P103" s="28" t="str">
        <ns0:f>IF(A103="","",IF(L103&lt;=0,"B Wins",IF(M103&lt;=0,"A Wins","Ongoing")))</ns0:f>
        <ns0:v/>
      </ns0:c>
    </ns0:row>
    <ns0:row r="104" ht="24" customHeight="1" s="4">
      <ns0:c r="A104" s="29" t="str">
        <ns0:f>IF(P103="Ongoing",A103+1,"")</ns0:f>
        <ns0:v/>
      </ns0:c>
      <ns0:c r="B104" s="30" t="str">
        <ns0:f>IF(A104="","",IF(MOD(A104,2)=1,$B$30,IF($B$30="A","B","A")))</ns0:f>
        <ns0:v/>
      </ns0:c>
      <ns0:c r="C104" s="29" t="str">
        <ns0:f>IF(A104="","",IF(A104&lt;=2,2,IF(A104&lt;=4,4,5)))</ns0:f>
        <ns0:v/>
      </ns0:c>
      <ns0:c r="D104" s="29" t="str">
        <ns0:f>IF(A104="","",IF(B104="A",I103,J103))</ns0:f>
        <ns0:v/>
      </ns0:c>
      <ns0:c r="E104" s="29" t="str">
        <ns0:f>IF(A104="","",IF(B104="A",$B$24,$C$24))</ns0:f>
        <ns0:v/>
      </ns0:c>
      <ns0:c r="F104" s="29" t="str">
        <ns0:f>IF(A104="","",IF(D104+E104&gt;=IF(B104="A",$B$17,$C$17),MIN(1,C104),0))</ns0:f>
        <ns0:v/>
      </ns0:c>
      <ns0:c r="G104" s="30" t="str">
        <ns0:f>IF(A104="","",IF(F104=1,"Normal Attack","Pass: insufficient AP"))</ns0:f>
        <ns0:v/>
      </ns0:c>
      <ns0:c r="H104" s="29" t="str">
        <ns0:f>IF(A104="","",IF(F104=1,IF(B104="A",$B$16,$C$16),0))</ns0:f>
        <ns0:v/>
      </ns0:c>
      <ns0:c r="I104" s="29" t="str">
        <ns0:f>IF(A104="","",I103+IF(B104="A",E104-H104,0))</ns0:f>
        <ns0:v/>
      </ns0:c>
      <ns0:c r="J104" s="29" t="str">
        <ns0:f>IF(A104="","",J103+IF(B104="B",E104-H104,0))</ns0:f>
        <ns0:v/>
      </ns0:c>
      <ns0:c r="K104" s="29" t="str">
        <ns0:f>IF(A104="","",IF(F104=1,IF(B104="A",MIN($B$26,M103),MIN($C$26,L103)),0))</ns0:f>
        <ns0:v/>
      </ns0:c>
      <ns0:c r="L104" s="29" t="str">
        <ns0:f>IF(A104="","",MAX(0,L103-IF(B104="B",K104,0)))</ns0:f>
        <ns0:v/>
      </ns0:c>
      <ns0:c r="M104" s="29" t="str">
        <ns0:f>IF(A104="","",MAX(0,M103-IF(B104="A",K104,0)))</ns0:f>
        <ns0:v/>
      </ns0:c>
      <ns0:c r="N104" s="29" t="str">
        <ns0:f>IF(A104="","",N103+IF(AND(B104="A",F104=1),1,0))</ns0:f>
        <ns0:v/>
      </ns0:c>
      <ns0:c r="O104" s="29" t="str">
        <ns0:f>IF(A104="","",O103+IF(AND(B104="B",F104=1),1,0))</ns0:f>
        <ns0:v/>
      </ns0:c>
      <ns0:c r="P104" s="30" t="str">
        <ns0:f>IF(A104="","",IF(L104&lt;=0,"B Wins",IF(M104&lt;=0,"A Wins","Ongoing")))</ns0:f>
        <ns0:v/>
      </ns0:c>
    </ns0:row>
    <ns0:row r="105" ht="24" customHeight="1" s="4">
      <ns0:c r="A105" s="27" t="str">
        <ns0:f>IF(P104="Ongoing",A104+1,"")</ns0:f>
        <ns0:v/>
      </ns0:c>
      <ns0:c r="B105" s="28" t="str">
        <ns0:f>IF(A105="","",IF(MOD(A105,2)=1,$B$30,IF($B$30="A","B","A")))</ns0:f>
        <ns0:v/>
      </ns0:c>
      <ns0:c r="C105" s="27" t="str">
        <ns0:f>IF(A105="","",IF(A105&lt;=2,2,IF(A105&lt;=4,4,5)))</ns0:f>
        <ns0:v/>
      </ns0:c>
      <ns0:c r="D105" s="27" t="str">
        <ns0:f>IF(A105="","",IF(B105="A",I104,J104))</ns0:f>
        <ns0:v/>
      </ns0:c>
      <ns0:c r="E105" s="27" t="str">
        <ns0:f>IF(A105="","",IF(B105="A",$B$24,$C$24))</ns0:f>
        <ns0:v/>
      </ns0:c>
      <ns0:c r="F105" s="27" t="str">
        <ns0:f>IF(A105="","",IF(D105+E105&gt;=IF(B105="A",$B$17,$C$17),MIN(1,C105),0))</ns0:f>
        <ns0:v/>
      </ns0:c>
      <ns0:c r="G105" s="28" t="str">
        <ns0:f>IF(A105="","",IF(F105=1,"Normal Attack","Pass: insufficient AP"))</ns0:f>
        <ns0:v/>
      </ns0:c>
      <ns0:c r="H105" s="27" t="str">
        <ns0:f>IF(A105="","",IF(F105=1,IF(B105="A",$B$16,$C$16),0))</ns0:f>
        <ns0:v/>
      </ns0:c>
      <ns0:c r="I105" s="27" t="str">
        <ns0:f>IF(A105="","",I104+IF(B105="A",E105-H105,0))</ns0:f>
        <ns0:v/>
      </ns0:c>
      <ns0:c r="J105" s="27" t="str">
        <ns0:f>IF(A105="","",J104+IF(B105="B",E105-H105,0))</ns0:f>
        <ns0:v/>
      </ns0:c>
      <ns0:c r="K105" s="27" t="str">
        <ns0:f>IF(A105="","",IF(F105=1,IF(B105="A",MIN($B$26,M104),MIN($C$26,L104)),0))</ns0:f>
        <ns0:v/>
      </ns0:c>
      <ns0:c r="L105" s="27" t="str">
        <ns0:f>IF(A105="","",MAX(0,L104-IF(B105="B",K105,0)))</ns0:f>
        <ns0:v/>
      </ns0:c>
      <ns0:c r="M105" s="27" t="str">
        <ns0:f>IF(A105="","",MAX(0,M104-IF(B105="A",K105,0)))</ns0:f>
        <ns0:v/>
      </ns0:c>
      <ns0:c r="N105" s="27" t="str">
        <ns0:f>IF(A105="","",N104+IF(AND(B105="A",F105=1),1,0))</ns0:f>
        <ns0:v/>
      </ns0:c>
      <ns0:c r="O105" s="27" t="str">
        <ns0:f>IF(A105="","",O104+IF(AND(B105="B",F105=1),1,0))</ns0:f>
        <ns0:v/>
      </ns0:c>
      <ns0:c r="P105" s="28" t="str">
        <ns0:f>IF(A105="","",IF(L105&lt;=0,"B Wins",IF(M105&lt;=0,"A Wins","Ongoing")))</ns0:f>
        <ns0:v/>
      </ns0:c>
    </ns0:row>
    <ns0:row r="106" ht="24" customHeight="1" s="4">
      <ns0:c r="A106" s="29" t="str">
        <ns0:f>IF(P105="Ongoing",A105+1,"")</ns0:f>
        <ns0:v/>
      </ns0:c>
      <ns0:c r="B106" s="30" t="str">
        <ns0:f>IF(A106="","",IF(MOD(A106,2)=1,$B$30,IF($B$30="A","B","A")))</ns0:f>
        <ns0:v/>
      </ns0:c>
      <ns0:c r="C106" s="29" t="str">
        <ns0:f>IF(A106="","",IF(A106&lt;=2,2,IF(A106&lt;=4,4,5)))</ns0:f>
        <ns0:v/>
      </ns0:c>
      <ns0:c r="D106" s="29" t="str">
        <ns0:f>IF(A106="","",IF(B106="A",I105,J105))</ns0:f>
        <ns0:v/>
      </ns0:c>
      <ns0:c r="E106" s="29" t="str">
        <ns0:f>IF(A106="","",IF(B106="A",$B$24,$C$24))</ns0:f>
        <ns0:v/>
      </ns0:c>
      <ns0:c r="F106" s="29" t="str">
        <ns0:f>IF(A106="","",IF(D106+E106&gt;=IF(B106="A",$B$17,$C$17),MIN(1,C106),0))</ns0:f>
        <ns0:v/>
      </ns0:c>
      <ns0:c r="G106" s="30" t="str">
        <ns0:f>IF(A106="","",IF(F106=1,"Normal Attack","Pass: insufficient AP"))</ns0:f>
        <ns0:v/>
      </ns0:c>
      <ns0:c r="H106" s="29" t="str">
        <ns0:f>IF(A106="","",IF(F106=1,IF(B106="A",$B$16,$C$16),0))</ns0:f>
        <ns0:v/>
      </ns0:c>
      <ns0:c r="I106" s="29" t="str">
        <ns0:f>IF(A106="","",I105+IF(B106="A",E106-H106,0))</ns0:f>
        <ns0:v/>
      </ns0:c>
      <ns0:c r="J106" s="29" t="str">
        <ns0:f>IF(A106="","",J105+IF(B106="B",E106-H106,0))</ns0:f>
        <ns0:v/>
      </ns0:c>
      <ns0:c r="K106" s="29" t="str">
        <ns0:f>IF(A106="","",IF(F106=1,IF(B106="A",MIN($B$26,M105),MIN($C$26,L105)),0))</ns0:f>
        <ns0:v/>
      </ns0:c>
      <ns0:c r="L106" s="29" t="str">
        <ns0:f>IF(A106="","",MAX(0,L105-IF(B106="B",K106,0)))</ns0:f>
        <ns0:v/>
      </ns0:c>
      <ns0:c r="M106" s="29" t="str">
        <ns0:f>IF(A106="","",MAX(0,M105-IF(B106="A",K106,0)))</ns0:f>
        <ns0:v/>
      </ns0:c>
      <ns0:c r="N106" s="29" t="str">
        <ns0:f>IF(A106="","",N105+IF(AND(B106="A",F106=1),1,0))</ns0:f>
        <ns0:v/>
      </ns0:c>
      <ns0:c r="O106" s="29" t="str">
        <ns0:f>IF(A106="","",O105+IF(AND(B106="B",F106=1),1,0))</ns0:f>
        <ns0:v/>
      </ns0:c>
      <ns0:c r="P106" s="30" t="str">
        <ns0:f>IF(A106="","",IF(L106&lt;=0,"B Wins",IF(M106&lt;=0,"A Wins","Ongoing")))</ns0:f>
        <ns0:v/>
      </ns0:c>
    </ns0:row>
    <ns0:row r="107" ht="24" customHeight="1" s="4">
      <ns0:c r="A107" s="27" t="str">
        <ns0:f>IF(P106="Ongoing",A106+1,"")</ns0:f>
        <ns0:v/>
      </ns0:c>
      <ns0:c r="B107" s="28" t="str">
        <ns0:f>IF(A107="","",IF(MOD(A107,2)=1,$B$30,IF($B$30="A","B","A")))</ns0:f>
        <ns0:v/>
      </ns0:c>
      <ns0:c r="C107" s="27" t="str">
        <ns0:f>IF(A107="","",IF(A107&lt;=2,2,IF(A107&lt;=4,4,5)))</ns0:f>
        <ns0:v/>
      </ns0:c>
      <ns0:c r="D107" s="27" t="str">
        <ns0:f>IF(A107="","",IF(B107="A",I106,J106))</ns0:f>
        <ns0:v/>
      </ns0:c>
      <ns0:c r="E107" s="27" t="str">
        <ns0:f>IF(A107="","",IF(B107="A",$B$24,$C$24))</ns0:f>
        <ns0:v/>
      </ns0:c>
      <ns0:c r="F107" s="27" t="str">
        <ns0:f>IF(A107="","",IF(D107+E107&gt;=IF(B107="A",$B$17,$C$17),MIN(1,C107),0))</ns0:f>
        <ns0:v/>
      </ns0:c>
      <ns0:c r="G107" s="28" t="str">
        <ns0:f>IF(A107="","",IF(F107=1,"Normal Attack","Pass: insufficient AP"))</ns0:f>
        <ns0:v/>
      </ns0:c>
      <ns0:c r="H107" s="27" t="str">
        <ns0:f>IF(A107="","",IF(F107=1,IF(B107="A",$B$16,$C$16),0))</ns0:f>
        <ns0:v/>
      </ns0:c>
      <ns0:c r="I107" s="27" t="str">
        <ns0:f>IF(A107="","",I106+IF(B107="A",E107-H107,0))</ns0:f>
        <ns0:v/>
      </ns0:c>
      <ns0:c r="J107" s="27" t="str">
        <ns0:f>IF(A107="","",J106+IF(B107="B",E107-H107,0))</ns0:f>
        <ns0:v/>
      </ns0:c>
      <ns0:c r="K107" s="27" t="str">
        <ns0:f>IF(A107="","",IF(F107=1,IF(B107="A",MIN($B$26,M106),MIN($C$26,L106)),0))</ns0:f>
        <ns0:v/>
      </ns0:c>
      <ns0:c r="L107" s="27" t="str">
        <ns0:f>IF(A107="","",MAX(0,L106-IF(B107="B",K107,0)))</ns0:f>
        <ns0:v/>
      </ns0:c>
      <ns0:c r="M107" s="27" t="str">
        <ns0:f>IF(A107="","",MAX(0,M106-IF(B107="A",K107,0)))</ns0:f>
        <ns0:v/>
      </ns0:c>
      <ns0:c r="N107" s="27" t="str">
        <ns0:f>IF(A107="","",N106+IF(AND(B107="A",F107=1),1,0))</ns0:f>
        <ns0:v/>
      </ns0:c>
      <ns0:c r="O107" s="27" t="str">
        <ns0:f>IF(A107="","",O106+IF(AND(B107="B",F107=1),1,0))</ns0:f>
        <ns0:v/>
      </ns0:c>
      <ns0:c r="P107" s="28" t="str">
        <ns0:f>IF(A107="","",IF(L107&lt;=0,"B Wins",IF(M107&lt;=0,"A Wins","Ongoing")))</ns0:f>
        <ns0:v/>
      </ns0:c>
    </ns0:row>
    <ns0:row r="108" ht="24" customHeight="1" s="4">
      <ns0:c r="A108" s="29" t="str">
        <ns0:f>IF(P107="Ongoing",A107+1,"")</ns0:f>
        <ns0:v/>
      </ns0:c>
      <ns0:c r="B108" s="30" t="str">
        <ns0:f>IF(A108="","",IF(MOD(A108,2)=1,$B$30,IF($B$30="A","B","A")))</ns0:f>
        <ns0:v/>
      </ns0:c>
      <ns0:c r="C108" s="29" t="str">
        <ns0:f>IF(A108="","",IF(A108&lt;=2,2,IF(A108&lt;=4,4,5)))</ns0:f>
        <ns0:v/>
      </ns0:c>
      <ns0:c r="D108" s="29" t="str">
        <ns0:f>IF(A108="","",IF(B108="A",I107,J107))</ns0:f>
        <ns0:v/>
      </ns0:c>
      <ns0:c r="E108" s="29" t="str">
        <ns0:f>IF(A108="","",IF(B108="A",$B$24,$C$24))</ns0:f>
        <ns0:v/>
      </ns0:c>
      <ns0:c r="F108" s="29" t="str">
        <ns0:f>IF(A108="","",IF(D108+E108&gt;=IF(B108="A",$B$17,$C$17),MIN(1,C108),0))</ns0:f>
        <ns0:v/>
      </ns0:c>
      <ns0:c r="G108" s="30" t="str">
        <ns0:f>IF(A108="","",IF(F108=1,"Normal Attack","Pass: insufficient AP"))</ns0:f>
        <ns0:v/>
      </ns0:c>
      <ns0:c r="H108" s="29" t="str">
        <ns0:f>IF(A108="","",IF(F108=1,IF(B108="A",$B$16,$C$16),0))</ns0:f>
        <ns0:v/>
      </ns0:c>
      <ns0:c r="I108" s="29" t="str">
        <ns0:f>IF(A108="","",I107+IF(B108="A",E108-H108,0))</ns0:f>
        <ns0:v/>
      </ns0:c>
      <ns0:c r="J108" s="29" t="str">
        <ns0:f>IF(A108="","",J107+IF(B108="B",E108-H108,0))</ns0:f>
        <ns0:v/>
      </ns0:c>
      <ns0:c r="K108" s="29" t="str">
        <ns0:f>IF(A108="","",IF(F108=1,IF(B108="A",MIN($B$26,M107),MIN($C$26,L107)),0))</ns0:f>
        <ns0:v/>
      </ns0:c>
      <ns0:c r="L108" s="29" t="str">
        <ns0:f>IF(A108="","",MAX(0,L107-IF(B108="B",K108,0)))</ns0:f>
        <ns0:v/>
      </ns0:c>
      <ns0:c r="M108" s="29" t="str">
        <ns0:f>IF(A108="","",MAX(0,M107-IF(B108="A",K108,0)))</ns0:f>
        <ns0:v/>
      </ns0:c>
      <ns0:c r="N108" s="29" t="str">
        <ns0:f>IF(A108="","",N107+IF(AND(B108="A",F108=1),1,0))</ns0:f>
        <ns0:v/>
      </ns0:c>
      <ns0:c r="O108" s="29" t="str">
        <ns0:f>IF(A108="","",O107+IF(AND(B108="B",F108=1),1,0))</ns0:f>
        <ns0:v/>
      </ns0:c>
      <ns0:c r="P108" s="30" t="str">
        <ns0:f>IF(A108="","",IF(L108&lt;=0,"B Wins",IF(M108&lt;=0,"A Wins","Ongoing")))</ns0:f>
        <ns0:v/>
      </ns0:c>
    </ns0:row>
    <ns0:row r="109" ht="24" customHeight="1" s="4">
      <ns0:c r="A109" s="27" t="str">
        <ns0:f>IF(P108="Ongoing",A108+1,"")</ns0:f>
        <ns0:v/>
      </ns0:c>
      <ns0:c r="B109" s="28" t="str">
        <ns0:f>IF(A109="","",IF(MOD(A109,2)=1,$B$30,IF($B$30="A","B","A")))</ns0:f>
        <ns0:v/>
      </ns0:c>
      <ns0:c r="C109" s="27" t="str">
        <ns0:f>IF(A109="","",IF(A109&lt;=2,2,IF(A109&lt;=4,4,5)))</ns0:f>
        <ns0:v/>
      </ns0:c>
      <ns0:c r="D109" s="27" t="str">
        <ns0:f>IF(A109="","",IF(B109="A",I108,J108))</ns0:f>
        <ns0:v/>
      </ns0:c>
      <ns0:c r="E109" s="27" t="str">
        <ns0:f>IF(A109="","",IF(B109="A",$B$24,$C$24))</ns0:f>
        <ns0:v/>
      </ns0:c>
      <ns0:c r="F109" s="27" t="str">
        <ns0:f>IF(A109="","",IF(D109+E109&gt;=IF(B109="A",$B$17,$C$17),MIN(1,C109),0))</ns0:f>
        <ns0:v/>
      </ns0:c>
      <ns0:c r="G109" s="28" t="str">
        <ns0:f>IF(A109="","",IF(F109=1,"Normal Attack","Pass: insufficient AP"))</ns0:f>
        <ns0:v/>
      </ns0:c>
      <ns0:c r="H109" s="27" t="str">
        <ns0:f>IF(A109="","",IF(F109=1,IF(B109="A",$B$16,$C$16),0))</ns0:f>
        <ns0:v/>
      </ns0:c>
      <ns0:c r="I109" s="27" t="str">
        <ns0:f>IF(A109="","",I108+IF(B109="A",E109-H109,0))</ns0:f>
        <ns0:v/>
      </ns0:c>
      <ns0:c r="J109" s="27" t="str">
        <ns0:f>IF(A109="","",J108+IF(B109="B",E109-H109,0))</ns0:f>
        <ns0:v/>
      </ns0:c>
      <ns0:c r="K109" s="27" t="str">
        <ns0:f>IF(A109="","",IF(F109=1,IF(B109="A",MIN($B$26,M108),MIN($C$26,L108)),0))</ns0:f>
        <ns0:v/>
      </ns0:c>
      <ns0:c r="L109" s="27" t="str">
        <ns0:f>IF(A109="","",MAX(0,L108-IF(B109="B",K109,0)))</ns0:f>
        <ns0:v/>
      </ns0:c>
      <ns0:c r="M109" s="27" t="str">
        <ns0:f>IF(A109="","",MAX(0,M108-IF(B109="A",K109,0)))</ns0:f>
        <ns0:v/>
      </ns0:c>
      <ns0:c r="N109" s="27" t="str">
        <ns0:f>IF(A109="","",N108+IF(AND(B109="A",F109=1),1,0))</ns0:f>
        <ns0:v/>
      </ns0:c>
      <ns0:c r="O109" s="27" t="str">
        <ns0:f>IF(A109="","",O108+IF(AND(B109="B",F109=1),1,0))</ns0:f>
        <ns0:v/>
      </ns0:c>
      <ns0:c r="P109" s="28" t="str">
        <ns0:f>IF(A109="","",IF(L109&lt;=0,"B Wins",IF(M109&lt;=0,"A Wins","Ongoing")))</ns0:f>
        <ns0:v/>
      </ns0:c>
    </ns0:row>
    <ns0:row r="110" ht="24" customHeight="1" s="4">
      <ns0:c r="A110" s="29" t="str">
        <ns0:f>IF(P109="Ongoing",A109+1,"")</ns0:f>
        <ns0:v/>
      </ns0:c>
      <ns0:c r="B110" s="30" t="str">
        <ns0:f>IF(A110="","",IF(MOD(A110,2)=1,$B$30,IF($B$30="A","B","A")))</ns0:f>
        <ns0:v/>
      </ns0:c>
      <ns0:c r="C110" s="29" t="str">
        <ns0:f>IF(A110="","",IF(A110&lt;=2,2,IF(A110&lt;=4,4,5)))</ns0:f>
        <ns0:v/>
      </ns0:c>
      <ns0:c r="D110" s="29" t="str">
        <ns0:f>IF(A110="","",IF(B110="A",I109,J109))</ns0:f>
        <ns0:v/>
      </ns0:c>
      <ns0:c r="E110" s="29" t="str">
        <ns0:f>IF(A110="","",IF(B110="A",$B$24,$C$24))</ns0:f>
        <ns0:v/>
      </ns0:c>
      <ns0:c r="F110" s="29" t="str">
        <ns0:f>IF(A110="","",IF(D110+E110&gt;=IF(B110="A",$B$17,$C$17),MIN(1,C110),0))</ns0:f>
        <ns0:v/>
      </ns0:c>
      <ns0:c r="G110" s="30" t="str">
        <ns0:f>IF(A110="","",IF(F110=1,"Normal Attack","Pass: insufficient AP"))</ns0:f>
        <ns0:v/>
      </ns0:c>
      <ns0:c r="H110" s="29" t="str">
        <ns0:f>IF(A110="","",IF(F110=1,IF(B110="A",$B$16,$C$16),0))</ns0:f>
        <ns0:v/>
      </ns0:c>
      <ns0:c r="I110" s="29" t="str">
        <ns0:f>IF(A110="","",I109+IF(B110="A",E110-H110,0))</ns0:f>
        <ns0:v/>
      </ns0:c>
      <ns0:c r="J110" s="29" t="str">
        <ns0:f>IF(A110="","",J109+IF(B110="B",E110-H110,0))</ns0:f>
        <ns0:v/>
      </ns0:c>
      <ns0:c r="K110" s="29" t="str">
        <ns0:f>IF(A110="","",IF(F110=1,IF(B110="A",MIN($B$26,M109),MIN($C$26,L109)),0))</ns0:f>
        <ns0:v/>
      </ns0:c>
      <ns0:c r="L110" s="29" t="str">
        <ns0:f>IF(A110="","",MAX(0,L109-IF(B110="B",K110,0)))</ns0:f>
        <ns0:v/>
      </ns0:c>
      <ns0:c r="M110" s="29" t="str">
        <ns0:f>IF(A110="","",MAX(0,M109-IF(B110="A",K110,0)))</ns0:f>
        <ns0:v/>
      </ns0:c>
      <ns0:c r="N110" s="29" t="str">
        <ns0:f>IF(A110="","",N109+IF(AND(B110="A",F110=1),1,0))</ns0:f>
        <ns0:v/>
      </ns0:c>
      <ns0:c r="O110" s="29" t="str">
        <ns0:f>IF(A110="","",O109+IF(AND(B110="B",F110=1),1,0))</ns0:f>
        <ns0:v/>
      </ns0:c>
      <ns0:c r="P110" s="30" t="str">
        <ns0:f>IF(A110="","",IF(L110&lt;=0,"B Wins",IF(M110&lt;=0,"A Wins","Ongoing")))</ns0:f>
        <ns0:v/>
      </ns0:c>
    </ns0:row>
    <ns0:row r="111" ht="24" customHeight="1" s="4">
      <ns0:c r="A111" s="27" t="str">
        <ns0:f>IF(P110="Ongoing",A110+1,"")</ns0:f>
        <ns0:v/>
      </ns0:c>
      <ns0:c r="B111" s="28" t="str">
        <ns0:f>IF(A111="","",IF(MOD(A111,2)=1,$B$30,IF($B$30="A","B","A")))</ns0:f>
        <ns0:v/>
      </ns0:c>
      <ns0:c r="C111" s="27" t="str">
        <ns0:f>IF(A111="","",IF(A111&lt;=2,2,IF(A111&lt;=4,4,5)))</ns0:f>
        <ns0:v/>
      </ns0:c>
      <ns0:c r="D111" s="27" t="str">
        <ns0:f>IF(A111="","",IF(B111="A",I110,J110))</ns0:f>
        <ns0:v/>
      </ns0:c>
      <ns0:c r="E111" s="27" t="str">
        <ns0:f>IF(A111="","",IF(B111="A",$B$24,$C$24))</ns0:f>
        <ns0:v/>
      </ns0:c>
      <ns0:c r="F111" s="27" t="str">
        <ns0:f>IF(A111="","",IF(D111+E111&gt;=IF(B111="A",$B$17,$C$17),MIN(1,C111),0))</ns0:f>
        <ns0:v/>
      </ns0:c>
      <ns0:c r="G111" s="28" t="str">
        <ns0:f>IF(A111="","",IF(F111=1,"Normal Attack","Pass: insufficient AP"))</ns0:f>
        <ns0:v/>
      </ns0:c>
      <ns0:c r="H111" s="27" t="str">
        <ns0:f>IF(A111="","",IF(F111=1,IF(B111="A",$B$16,$C$16),0))</ns0:f>
        <ns0:v/>
      </ns0:c>
      <ns0:c r="I111" s="27" t="str">
        <ns0:f>IF(A111="","",I110+IF(B111="A",E111-H111,0))</ns0:f>
        <ns0:v/>
      </ns0:c>
      <ns0:c r="J111" s="27" t="str">
        <ns0:f>IF(A111="","",J110+IF(B111="B",E111-H111,0))</ns0:f>
        <ns0:v/>
      </ns0:c>
      <ns0:c r="K111" s="27" t="str">
        <ns0:f>IF(A111="","",IF(F111=1,IF(B111="A",MIN($B$26,M110),MIN($C$26,L110)),0))</ns0:f>
        <ns0:v/>
      </ns0:c>
      <ns0:c r="L111" s="27" t="str">
        <ns0:f>IF(A111="","",MAX(0,L110-IF(B111="B",K111,0)))</ns0:f>
        <ns0:v/>
      </ns0:c>
      <ns0:c r="M111" s="27" t="str">
        <ns0:f>IF(A111="","",MAX(0,M110-IF(B111="A",K111,0)))</ns0:f>
        <ns0:v/>
      </ns0:c>
      <ns0:c r="N111" s="27" t="str">
        <ns0:f>IF(A111="","",N110+IF(AND(B111="A",F111=1),1,0))</ns0:f>
        <ns0:v/>
      </ns0:c>
      <ns0:c r="O111" s="27" t="str">
        <ns0:f>IF(A111="","",O110+IF(AND(B111="B",F111=1),1,0))</ns0:f>
        <ns0:v/>
      </ns0:c>
      <ns0:c r="P111" s="28" t="str">
        <ns0:f>IF(A111="","",IF(L111&lt;=0,"B Wins",IF(M111&lt;=0,"A Wins","Ongoing")))</ns0:f>
        <ns0:v/>
      </ns0:c>
    </ns0:row>
    <ns0:row r="112" ht="24" customHeight="1" s="4">
      <ns0:c r="A112" s="29" t="str">
        <ns0:f>IF(P111="Ongoing",A111+1,"")</ns0:f>
        <ns0:v/>
      </ns0:c>
      <ns0:c r="B112" s="30" t="str">
        <ns0:f>IF(A112="","",IF(MOD(A112,2)=1,$B$30,IF($B$30="A","B","A")))</ns0:f>
        <ns0:v/>
      </ns0:c>
      <ns0:c r="C112" s="29" t="str">
        <ns0:f>IF(A112="","",IF(A112&lt;=2,2,IF(A112&lt;=4,4,5)))</ns0:f>
        <ns0:v/>
      </ns0:c>
      <ns0:c r="D112" s="29" t="str">
        <ns0:f>IF(A112="","",IF(B112="A",I111,J111))</ns0:f>
        <ns0:v/>
      </ns0:c>
      <ns0:c r="E112" s="29" t="str">
        <ns0:f>IF(A112="","",IF(B112="A",$B$24,$C$24))</ns0:f>
        <ns0:v/>
      </ns0:c>
      <ns0:c r="F112" s="29" t="str">
        <ns0:f>IF(A112="","",IF(D112+E112&gt;=IF(B112="A",$B$17,$C$17),MIN(1,C112),0))</ns0:f>
        <ns0:v/>
      </ns0:c>
      <ns0:c r="G112" s="30" t="str">
        <ns0:f>IF(A112="","",IF(F112=1,"Normal Attack","Pass: insufficient AP"))</ns0:f>
        <ns0:v/>
      </ns0:c>
      <ns0:c r="H112" s="29" t="str">
        <ns0:f>IF(A112="","",IF(F112=1,IF(B112="A",$B$16,$C$16),0))</ns0:f>
        <ns0:v/>
      </ns0:c>
      <ns0:c r="I112" s="29" t="str">
        <ns0:f>IF(A112="","",I111+IF(B112="A",E112-H112,0))</ns0:f>
        <ns0:v/>
      </ns0:c>
      <ns0:c r="J112" s="29" t="str">
        <ns0:f>IF(A112="","",J111+IF(B112="B",E112-H112,0))</ns0:f>
        <ns0:v/>
      </ns0:c>
      <ns0:c r="K112" s="29" t="str">
        <ns0:f>IF(A112="","",IF(F112=1,IF(B112="A",MIN($B$26,M111),MIN($C$26,L111)),0))</ns0:f>
        <ns0:v/>
      </ns0:c>
      <ns0:c r="L112" s="29" t="str">
        <ns0:f>IF(A112="","",MAX(0,L111-IF(B112="B",K112,0)))</ns0:f>
        <ns0:v/>
      </ns0:c>
      <ns0:c r="M112" s="29" t="str">
        <ns0:f>IF(A112="","",MAX(0,M111-IF(B112="A",K112,0)))</ns0:f>
        <ns0:v/>
      </ns0:c>
      <ns0:c r="N112" s="29" t="str">
        <ns0:f>IF(A112="","",N111+IF(AND(B112="A",F112=1),1,0))</ns0:f>
        <ns0:v/>
      </ns0:c>
      <ns0:c r="O112" s="29" t="str">
        <ns0:f>IF(A112="","",O111+IF(AND(B112="B",F112=1),1,0))</ns0:f>
        <ns0:v/>
      </ns0:c>
      <ns0:c r="P112" s="30" t="str">
        <ns0:f>IF(A112="","",IF(L112&lt;=0,"B Wins",IF(M112&lt;=0,"A Wins","Ongoing")))</ns0:f>
        <ns0:v/>
      </ns0:c>
    </ns0:row>
    <ns0:row r="113" ht="24" customHeight="1" s="4">
      <ns0:c r="A113" s="27" t="str">
        <ns0:f>IF(P112="Ongoing",A112+1,"")</ns0:f>
        <ns0:v/>
      </ns0:c>
      <ns0:c r="B113" s="28" t="str">
        <ns0:f>IF(A113="","",IF(MOD(A113,2)=1,$B$30,IF($B$30="A","B","A")))</ns0:f>
        <ns0:v/>
      </ns0:c>
      <ns0:c r="C113" s="27" t="str">
        <ns0:f>IF(A113="","",IF(A113&lt;=2,2,IF(A113&lt;=4,4,5)))</ns0:f>
        <ns0:v/>
      </ns0:c>
      <ns0:c r="D113" s="27" t="str">
        <ns0:f>IF(A113="","",IF(B113="A",I112,J112))</ns0:f>
        <ns0:v/>
      </ns0:c>
      <ns0:c r="E113" s="27" t="str">
        <ns0:f>IF(A113="","",IF(B113="A",$B$24,$C$24))</ns0:f>
        <ns0:v/>
      </ns0:c>
      <ns0:c r="F113" s="27" t="str">
        <ns0:f>IF(A113="","",IF(D113+E113&gt;=IF(B113="A",$B$17,$C$17),MIN(1,C113),0))</ns0:f>
        <ns0:v/>
      </ns0:c>
      <ns0:c r="G113" s="28" t="str">
        <ns0:f>IF(A113="","",IF(F113=1,"Normal Attack","Pass: insufficient AP"))</ns0:f>
        <ns0:v/>
      </ns0:c>
      <ns0:c r="H113" s="27" t="str">
        <ns0:f>IF(A113="","",IF(F113=1,IF(B113="A",$B$16,$C$16),0))</ns0:f>
        <ns0:v/>
      </ns0:c>
      <ns0:c r="I113" s="27" t="str">
        <ns0:f>IF(A113="","",I112+IF(B113="A",E113-H113,0))</ns0:f>
        <ns0:v/>
      </ns0:c>
      <ns0:c r="J113" s="27" t="str">
        <ns0:f>IF(A113="","",J112+IF(B113="B",E113-H113,0))</ns0:f>
        <ns0:v/>
      </ns0:c>
      <ns0:c r="K113" s="27" t="str">
        <ns0:f>IF(A113="","",IF(F113=1,IF(B113="A",MIN($B$26,M112),MIN($C$26,L112)),0))</ns0:f>
        <ns0:v/>
      </ns0:c>
      <ns0:c r="L113" s="27" t="str">
        <ns0:f>IF(A113="","",MAX(0,L112-IF(B113="B",K113,0)))</ns0:f>
        <ns0:v/>
      </ns0:c>
      <ns0:c r="M113" s="27" t="str">
        <ns0:f>IF(A113="","",MAX(0,M112-IF(B113="A",K113,0)))</ns0:f>
        <ns0:v/>
      </ns0:c>
      <ns0:c r="N113" s="27" t="str">
        <ns0:f>IF(A113="","",N112+IF(AND(B113="A",F113=1),1,0))</ns0:f>
        <ns0:v/>
      </ns0:c>
      <ns0:c r="O113" s="27" t="str">
        <ns0:f>IF(A113="","",O112+IF(AND(B113="B",F113=1),1,0))</ns0:f>
        <ns0:v/>
      </ns0:c>
      <ns0:c r="P113" s="28" t="str">
        <ns0:f>IF(A113="","",IF(L113&lt;=0,"B Wins",IF(M113&lt;=0,"A Wins","Ongoing")))</ns0:f>
        <ns0:v/>
      </ns0:c>
    </ns0:row>
    <ns0:row r="114" ht="24" customHeight="1" s="4">
      <ns0:c r="A114" s="29" t="str">
        <ns0:f>IF(P113="Ongoing",A113+1,"")</ns0:f>
        <ns0:v/>
      </ns0:c>
      <ns0:c r="B114" s="30" t="str">
        <ns0:f>IF(A114="","",IF(MOD(A114,2)=1,$B$30,IF($B$30="A","B","A")))</ns0:f>
        <ns0:v/>
      </ns0:c>
      <ns0:c r="C114" s="29" t="str">
        <ns0:f>IF(A114="","",IF(A114&lt;=2,2,IF(A114&lt;=4,4,5)))</ns0:f>
        <ns0:v/>
      </ns0:c>
      <ns0:c r="D114" s="29" t="str">
        <ns0:f>IF(A114="","",IF(B114="A",I113,J113))</ns0:f>
        <ns0:v/>
      </ns0:c>
      <ns0:c r="E114" s="29" t="str">
        <ns0:f>IF(A114="","",IF(B114="A",$B$24,$C$24))</ns0:f>
        <ns0:v/>
      </ns0:c>
      <ns0:c r="F114" s="29" t="str">
        <ns0:f>IF(A114="","",IF(D114+E114&gt;=IF(B114="A",$B$17,$C$17),MIN(1,C114),0))</ns0:f>
        <ns0:v/>
      </ns0:c>
      <ns0:c r="G114" s="30" t="str">
        <ns0:f>IF(A114="","",IF(F114=1,"Normal Attack","Pass: insufficient AP"))</ns0:f>
        <ns0:v/>
      </ns0:c>
      <ns0:c r="H114" s="29" t="str">
        <ns0:f>IF(A114="","",IF(F114=1,IF(B114="A",$B$16,$C$16),0))</ns0:f>
        <ns0:v/>
      </ns0:c>
      <ns0:c r="I114" s="29" t="str">
        <ns0:f>IF(A114="","",I113+IF(B114="A",E114-H114,0))</ns0:f>
        <ns0:v/>
      </ns0:c>
      <ns0:c r="J114" s="29" t="str">
        <ns0:f>IF(A114="","",J113+IF(B114="B",E114-H114,0))</ns0:f>
        <ns0:v/>
      </ns0:c>
      <ns0:c r="K114" s="29" t="str">
        <ns0:f>IF(A114="","",IF(F114=1,IF(B114="A",MIN($B$26,M113),MIN($C$26,L113)),0))</ns0:f>
        <ns0:v/>
      </ns0:c>
      <ns0:c r="L114" s="29" t="str">
        <ns0:f>IF(A114="","",MAX(0,L113-IF(B114="B",K114,0)))</ns0:f>
        <ns0:v/>
      </ns0:c>
      <ns0:c r="M114" s="29" t="str">
        <ns0:f>IF(A114="","",MAX(0,M113-IF(B114="A",K114,0)))</ns0:f>
        <ns0:v/>
      </ns0:c>
      <ns0:c r="N114" s="29" t="str">
        <ns0:f>IF(A114="","",N113+IF(AND(B114="A",F114=1),1,0))</ns0:f>
        <ns0:v/>
      </ns0:c>
      <ns0:c r="O114" s="29" t="str">
        <ns0:f>IF(A114="","",O113+IF(AND(B114="B",F114=1),1,0))</ns0:f>
        <ns0:v/>
      </ns0:c>
      <ns0:c r="P114" s="30" t="str">
        <ns0:f>IF(A114="","",IF(L114&lt;=0,"B Wins",IF(M114&lt;=0,"A Wins","Ongoing")))</ns0:f>
        <ns0:v/>
      </ns0:c>
    </ns0:row>
    <ns0:row r="115" ht="24" customHeight="1" s="4">
      <ns0:c r="A115" s="27" t="str">
        <ns0:f>IF(P114="Ongoing",A114+1,"")</ns0:f>
        <ns0:v/>
      </ns0:c>
      <ns0:c r="B115" s="28" t="str">
        <ns0:f>IF(A115="","",IF(MOD(A115,2)=1,$B$30,IF($B$30="A","B","A")))</ns0:f>
        <ns0:v/>
      </ns0:c>
      <ns0:c r="C115" s="27" t="str">
        <ns0:f>IF(A115="","",IF(A115&lt;=2,2,IF(A115&lt;=4,4,5)))</ns0:f>
        <ns0:v/>
      </ns0:c>
      <ns0:c r="D115" s="27" t="str">
        <ns0:f>IF(A115="","",IF(B115="A",I114,J114))</ns0:f>
        <ns0:v/>
      </ns0:c>
      <ns0:c r="E115" s="27" t="str">
        <ns0:f>IF(A115="","",IF(B115="A",$B$24,$C$24))</ns0:f>
        <ns0:v/>
      </ns0:c>
      <ns0:c r="F115" s="27" t="str">
        <ns0:f>IF(A115="","",IF(D115+E115&gt;=IF(B115="A",$B$17,$C$17),MIN(1,C115),0))</ns0:f>
        <ns0:v/>
      </ns0:c>
      <ns0:c r="G115" s="28" t="str">
        <ns0:f>IF(A115="","",IF(F115=1,"Normal Attack","Pass: insufficient AP"))</ns0:f>
        <ns0:v/>
      </ns0:c>
      <ns0:c r="H115" s="27" t="str">
        <ns0:f>IF(A115="","",IF(F115=1,IF(B115="A",$B$16,$C$16),0))</ns0:f>
        <ns0:v/>
      </ns0:c>
      <ns0:c r="I115" s="27" t="str">
        <ns0:f>IF(A115="","",I114+IF(B115="A",E115-H115,0))</ns0:f>
        <ns0:v/>
      </ns0:c>
      <ns0:c r="J115" s="27" t="str">
        <ns0:f>IF(A115="","",J114+IF(B115="B",E115-H115,0))</ns0:f>
        <ns0:v/>
      </ns0:c>
      <ns0:c r="K115" s="27" t="str">
        <ns0:f>IF(A115="","",IF(F115=1,IF(B115="A",MIN($B$26,M114),MIN($C$26,L114)),0))</ns0:f>
        <ns0:v/>
      </ns0:c>
      <ns0:c r="L115" s="27" t="str">
        <ns0:f>IF(A115="","",MAX(0,L114-IF(B115="B",K115,0)))</ns0:f>
        <ns0:v/>
      </ns0:c>
      <ns0:c r="M115" s="27" t="str">
        <ns0:f>IF(A115="","",MAX(0,M114-IF(B115="A",K115,0)))</ns0:f>
        <ns0:v/>
      </ns0:c>
      <ns0:c r="N115" s="27" t="str">
        <ns0:f>IF(A115="","",N114+IF(AND(B115="A",F115=1),1,0))</ns0:f>
        <ns0:v/>
      </ns0:c>
      <ns0:c r="O115" s="27" t="str">
        <ns0:f>IF(A115="","",O114+IF(AND(B115="B",F115=1),1,0))</ns0:f>
        <ns0:v/>
      </ns0:c>
      <ns0:c r="P115" s="28" t="str">
        <ns0:f>IF(A115="","",IF(L115&lt;=0,"B Wins",IF(M115&lt;=0,"A Wins","Ongoing")))</ns0:f>
        <ns0:v/>
      </ns0:c>
    </ns0:row>
    <ns0:row r="116" ht="24" customHeight="1" s="4">
      <ns0:c r="A116" s="29" t="str">
        <ns0:f>IF(P115="Ongoing",A115+1,"")</ns0:f>
        <ns0:v/>
      </ns0:c>
      <ns0:c r="B116" s="30" t="str">
        <ns0:f>IF(A116="","",IF(MOD(A116,2)=1,$B$30,IF($B$30="A","B","A")))</ns0:f>
        <ns0:v/>
      </ns0:c>
      <ns0:c r="C116" s="29" t="str">
        <ns0:f>IF(A116="","",IF(A116&lt;=2,2,IF(A116&lt;=4,4,5)))</ns0:f>
        <ns0:v/>
      </ns0:c>
      <ns0:c r="D116" s="29" t="str">
        <ns0:f>IF(A116="","",IF(B116="A",I115,J115))</ns0:f>
        <ns0:v/>
      </ns0:c>
      <ns0:c r="E116" s="29" t="str">
        <ns0:f>IF(A116="","",IF(B116="A",$B$24,$C$24))</ns0:f>
        <ns0:v/>
      </ns0:c>
      <ns0:c r="F116" s="29" t="str">
        <ns0:f>IF(A116="","",IF(D116+E116&gt;=IF(B116="A",$B$17,$C$17),MIN(1,C116),0))</ns0:f>
        <ns0:v/>
      </ns0:c>
      <ns0:c r="G116" s="30" t="str">
        <ns0:f>IF(A116="","",IF(F116=1,"Normal Attack","Pass: insufficient AP"))</ns0:f>
        <ns0:v/>
      </ns0:c>
      <ns0:c r="H116" s="29" t="str">
        <ns0:f>IF(A116="","",IF(F116=1,IF(B116="A",$B$16,$C$16),0))</ns0:f>
        <ns0:v/>
      </ns0:c>
      <ns0:c r="I116" s="29" t="str">
        <ns0:f>IF(A116="","",I115+IF(B116="A",E116-H116,0))</ns0:f>
        <ns0:v/>
      </ns0:c>
      <ns0:c r="J116" s="29" t="str">
        <ns0:f>IF(A116="","",J115+IF(B116="B",E116-H116,0))</ns0:f>
        <ns0:v/>
      </ns0:c>
      <ns0:c r="K116" s="29" t="str">
        <ns0:f>IF(A116="","",IF(F116=1,IF(B116="A",MIN($B$26,M115),MIN($C$26,L115)),0))</ns0:f>
        <ns0:v/>
      </ns0:c>
      <ns0:c r="L116" s="29" t="str">
        <ns0:f>IF(A116="","",MAX(0,L115-IF(B116="B",K116,0)))</ns0:f>
        <ns0:v/>
      </ns0:c>
      <ns0:c r="M116" s="29" t="str">
        <ns0:f>IF(A116="","",MAX(0,M115-IF(B116="A",K116,0)))</ns0:f>
        <ns0:v/>
      </ns0:c>
      <ns0:c r="N116" s="29" t="str">
        <ns0:f>IF(A116="","",N115+IF(AND(B116="A",F116=1),1,0))</ns0:f>
        <ns0:v/>
      </ns0:c>
      <ns0:c r="O116" s="29" t="str">
        <ns0:f>IF(A116="","",O115+IF(AND(B116="B",F116=1),1,0))</ns0:f>
        <ns0:v/>
      </ns0:c>
      <ns0:c r="P116" s="30" t="str">
        <ns0:f>IF(A116="","",IF(L116&lt;=0,"B Wins",IF(M116&lt;=0,"A Wins","Ongoing")))</ns0:f>
        <ns0:v/>
      </ns0:c>
    </ns0:row>
    <ns0:row r="117" ht="24" customHeight="1" s="4">
      <ns0:c r="A117" s="27" t="str">
        <ns0:f>IF(P116="Ongoing",A116+1,"")</ns0:f>
        <ns0:v/>
      </ns0:c>
      <ns0:c r="B117" s="28" t="str">
        <ns0:f>IF(A117="","",IF(MOD(A117,2)=1,$B$30,IF($B$30="A","B","A")))</ns0:f>
        <ns0:v/>
      </ns0:c>
      <ns0:c r="C117" s="27" t="str">
        <ns0:f>IF(A117="","",IF(A117&lt;=2,2,IF(A117&lt;=4,4,5)))</ns0:f>
        <ns0:v/>
      </ns0:c>
      <ns0:c r="D117" s="27" t="str">
        <ns0:f>IF(A117="","",IF(B117="A",I116,J116))</ns0:f>
        <ns0:v/>
      </ns0:c>
      <ns0:c r="E117" s="27" t="str">
        <ns0:f>IF(A117="","",IF(B117="A",$B$24,$C$24))</ns0:f>
        <ns0:v/>
      </ns0:c>
      <ns0:c r="F117" s="27" t="str">
        <ns0:f>IF(A117="","",IF(D117+E117&gt;=IF(B117="A",$B$17,$C$17),MIN(1,C117),0))</ns0:f>
        <ns0:v/>
      </ns0:c>
      <ns0:c r="G117" s="28" t="str">
        <ns0:f>IF(A117="","",IF(F117=1,"Normal Attack","Pass: insufficient AP"))</ns0:f>
        <ns0:v/>
      </ns0:c>
      <ns0:c r="H117" s="27" t="str">
        <ns0:f>IF(A117="","",IF(F117=1,IF(B117="A",$B$16,$C$16),0))</ns0:f>
        <ns0:v/>
      </ns0:c>
      <ns0:c r="I117" s="27" t="str">
        <ns0:f>IF(A117="","",I116+IF(B117="A",E117-H117,0))</ns0:f>
        <ns0:v/>
      </ns0:c>
      <ns0:c r="J117" s="27" t="str">
        <ns0:f>IF(A117="","",J116+IF(B117="B",E117-H117,0))</ns0:f>
        <ns0:v/>
      </ns0:c>
      <ns0:c r="K117" s="27" t="str">
        <ns0:f>IF(A117="","",IF(F117=1,IF(B117="A",MIN($B$26,M116),MIN($C$26,L116)),0))</ns0:f>
        <ns0:v/>
      </ns0:c>
      <ns0:c r="L117" s="27" t="str">
        <ns0:f>IF(A117="","",MAX(0,L116-IF(B117="B",K117,0)))</ns0:f>
        <ns0:v/>
      </ns0:c>
      <ns0:c r="M117" s="27" t="str">
        <ns0:f>IF(A117="","",MAX(0,M116-IF(B117="A",K117,0)))</ns0:f>
        <ns0:v/>
      </ns0:c>
      <ns0:c r="N117" s="27" t="str">
        <ns0:f>IF(A117="","",N116+IF(AND(B117="A",F117=1),1,0))</ns0:f>
        <ns0:v/>
      </ns0:c>
      <ns0:c r="O117" s="27" t="str">
        <ns0:f>IF(A117="","",O116+IF(AND(B117="B",F117=1),1,0))</ns0:f>
        <ns0:v/>
      </ns0:c>
      <ns0:c r="P117" s="28" t="str">
        <ns0:f>IF(A117="","",IF(L117&lt;=0,"B Wins",IF(M117&lt;=0,"A Wins","Ongoing")))</ns0:f>
        <ns0:v/>
      </ns0:c>
    </ns0:row>
    <ns0:row r="118" ht="24" customHeight="1" s="4">
      <ns0:c r="A118" s="29" t="str">
        <ns0:f>IF(P117="Ongoing",A117+1,"")</ns0:f>
        <ns0:v/>
      </ns0:c>
      <ns0:c r="B118" s="30" t="str">
        <ns0:f>IF(A118="","",IF(MOD(A118,2)=1,$B$30,IF($B$30="A","B","A")))</ns0:f>
        <ns0:v/>
      </ns0:c>
      <ns0:c r="C118" s="29" t="str">
        <ns0:f>IF(A118="","",IF(A118&lt;=2,2,IF(A118&lt;=4,4,5)))</ns0:f>
        <ns0:v/>
      </ns0:c>
      <ns0:c r="D118" s="29" t="str">
        <ns0:f>IF(A118="","",IF(B118="A",I117,J117))</ns0:f>
        <ns0:v/>
      </ns0:c>
      <ns0:c r="E118" s="29" t="str">
        <ns0:f>IF(A118="","",IF(B118="A",$B$24,$C$24))</ns0:f>
        <ns0:v/>
      </ns0:c>
      <ns0:c r="F118" s="29" t="str">
        <ns0:f>IF(A118="","",IF(D118+E118&gt;=IF(B118="A",$B$17,$C$17),MIN(1,C118),0))</ns0:f>
        <ns0:v/>
      </ns0:c>
      <ns0:c r="G118" s="30" t="str">
        <ns0:f>IF(A118="","",IF(F118=1,"Normal Attack","Pass: insufficient AP"))</ns0:f>
        <ns0:v/>
      </ns0:c>
      <ns0:c r="H118" s="29" t="str">
        <ns0:f>IF(A118="","",IF(F118=1,IF(B118="A",$B$16,$C$16),0))</ns0:f>
        <ns0:v/>
      </ns0:c>
      <ns0:c r="I118" s="29" t="str">
        <ns0:f>IF(A118="","",I117+IF(B118="A",E118-H118,0))</ns0:f>
        <ns0:v/>
      </ns0:c>
      <ns0:c r="J118" s="29" t="str">
        <ns0:f>IF(A118="","",J117+IF(B118="B",E118-H118,0))</ns0:f>
        <ns0:v/>
      </ns0:c>
      <ns0:c r="K118" s="29" t="str">
        <ns0:f>IF(A118="","",IF(F118=1,IF(B118="A",MIN($B$26,M117),MIN($C$26,L117)),0))</ns0:f>
        <ns0:v/>
      </ns0:c>
      <ns0:c r="L118" s="29" t="str">
        <ns0:f>IF(A118="","",MAX(0,L117-IF(B118="B",K118,0)))</ns0:f>
        <ns0:v/>
      </ns0:c>
      <ns0:c r="M118" s="29" t="str">
        <ns0:f>IF(A118="","",MAX(0,M117-IF(B118="A",K118,0)))</ns0:f>
        <ns0:v/>
      </ns0:c>
      <ns0:c r="N118" s="29" t="str">
        <ns0:f>IF(A118="","",N117+IF(AND(B118="A",F118=1),1,0))</ns0:f>
        <ns0:v/>
      </ns0:c>
      <ns0:c r="O118" s="29" t="str">
        <ns0:f>IF(A118="","",O117+IF(AND(B118="B",F118=1),1,0))</ns0:f>
        <ns0:v/>
      </ns0:c>
      <ns0:c r="P118" s="30" t="str">
        <ns0:f>IF(A118="","",IF(L118&lt;=0,"B Wins",IF(M118&lt;=0,"A Wins","Ongoing")))</ns0:f>
        <ns0:v/>
      </ns0:c>
    </ns0:row>
    <ns0:row r="119" ht="24" customHeight="1" s="4">
      <ns0:c r="A119" s="27" t="str">
        <ns0:f>IF(P118="Ongoing",A118+1,"")</ns0:f>
        <ns0:v/>
      </ns0:c>
      <ns0:c r="B119" s="28" t="str">
        <ns0:f>IF(A119="","",IF(MOD(A119,2)=1,$B$30,IF($B$30="A","B","A")))</ns0:f>
        <ns0:v/>
      </ns0:c>
      <ns0:c r="C119" s="27" t="str">
        <ns0:f>IF(A119="","",IF(A119&lt;=2,2,IF(A119&lt;=4,4,5)))</ns0:f>
        <ns0:v/>
      </ns0:c>
      <ns0:c r="D119" s="27" t="str">
        <ns0:f>IF(A119="","",IF(B119="A",I118,J118))</ns0:f>
        <ns0:v/>
      </ns0:c>
      <ns0:c r="E119" s="27" t="str">
        <ns0:f>IF(A119="","",IF(B119="A",$B$24,$C$24))</ns0:f>
        <ns0:v/>
      </ns0:c>
      <ns0:c r="F119" s="27" t="str">
        <ns0:f>IF(A119="","",IF(D119+E119&gt;=IF(B119="A",$B$17,$C$17),MIN(1,C119),0))</ns0:f>
        <ns0:v/>
      </ns0:c>
      <ns0:c r="G119" s="28" t="str">
        <ns0:f>IF(A119="","",IF(F119=1,"Normal Attack","Pass: insufficient AP"))</ns0:f>
        <ns0:v/>
      </ns0:c>
      <ns0:c r="H119" s="27" t="str">
        <ns0:f>IF(A119="","",IF(F119=1,IF(B119="A",$B$16,$C$16),0))</ns0:f>
        <ns0:v/>
      </ns0:c>
      <ns0:c r="I119" s="27" t="str">
        <ns0:f>IF(A119="","",I118+IF(B119="A",E119-H119,0))</ns0:f>
        <ns0:v/>
      </ns0:c>
      <ns0:c r="J119" s="27" t="str">
        <ns0:f>IF(A119="","",J118+IF(B119="B",E119-H119,0))</ns0:f>
        <ns0:v/>
      </ns0:c>
      <ns0:c r="K119" s="27" t="str">
        <ns0:f>IF(A119="","",IF(F119=1,IF(B119="A",MIN($B$26,M118),MIN($C$26,L118)),0))</ns0:f>
        <ns0:v/>
      </ns0:c>
      <ns0:c r="L119" s="27" t="str">
        <ns0:f>IF(A119="","",MAX(0,L118-IF(B119="B",K119,0)))</ns0:f>
        <ns0:v/>
      </ns0:c>
      <ns0:c r="M119" s="27" t="str">
        <ns0:f>IF(A119="","",MAX(0,M118-IF(B119="A",K119,0)))</ns0:f>
        <ns0:v/>
      </ns0:c>
      <ns0:c r="N119" s="27" t="str">
        <ns0:f>IF(A119="","",N118+IF(AND(B119="A",F119=1),1,0))</ns0:f>
        <ns0:v/>
      </ns0:c>
      <ns0:c r="O119" s="27" t="str">
        <ns0:f>IF(A119="","",O118+IF(AND(B119="B",F119=1),1,0))</ns0:f>
        <ns0:v/>
      </ns0:c>
      <ns0:c r="P119" s="28" t="str">
        <ns0:f>IF(A119="","",IF(L119&lt;=0,"B Wins",IF(M119&lt;=0,"A Wins","Ongoing")))</ns0:f>
        <ns0:v/>
      </ns0:c>
    </ns0:row>
    <ns0:row r="120" ht="24" customHeight="1" s="4">
      <ns0:c r="A120" s="29" t="str">
        <ns0:f>IF(P119="Ongoing",A119+1,"")</ns0:f>
        <ns0:v/>
      </ns0:c>
      <ns0:c r="B120" s="30" t="str">
        <ns0:f>IF(A120="","",IF(MOD(A120,2)=1,$B$30,IF($B$30="A","B","A")))</ns0:f>
        <ns0:v/>
      </ns0:c>
      <ns0:c r="C120" s="29" t="str">
        <ns0:f>IF(A120="","",IF(A120&lt;=2,2,IF(A120&lt;=4,4,5)))</ns0:f>
        <ns0:v/>
      </ns0:c>
      <ns0:c r="D120" s="29" t="str">
        <ns0:f>IF(A120="","",IF(B120="A",I119,J119))</ns0:f>
        <ns0:v/>
      </ns0:c>
      <ns0:c r="E120" s="29" t="str">
        <ns0:f>IF(A120="","",IF(B120="A",$B$24,$C$24))</ns0:f>
        <ns0:v/>
      </ns0:c>
      <ns0:c r="F120" s="29" t="str">
        <ns0:f>IF(A120="","",IF(D120+E120&gt;=IF(B120="A",$B$17,$C$17),MIN(1,C120),0))</ns0:f>
        <ns0:v/>
      </ns0:c>
      <ns0:c r="G120" s="30" t="str">
        <ns0:f>IF(A120="","",IF(F120=1,"Normal Attack","Pass: insufficient AP"))</ns0:f>
        <ns0:v/>
      </ns0:c>
      <ns0:c r="H120" s="29" t="str">
        <ns0:f>IF(A120="","",IF(F120=1,IF(B120="A",$B$16,$C$16),0))</ns0:f>
        <ns0:v/>
      </ns0:c>
      <ns0:c r="I120" s="29" t="str">
        <ns0:f>IF(A120="","",I119+IF(B120="A",E120-H120,0))</ns0:f>
        <ns0:v/>
      </ns0:c>
      <ns0:c r="J120" s="29" t="str">
        <ns0:f>IF(A120="","",J119+IF(B120="B",E120-H120,0))</ns0:f>
        <ns0:v/>
      </ns0:c>
      <ns0:c r="K120" s="29" t="str">
        <ns0:f>IF(A120="","",IF(F120=1,IF(B120="A",MIN($B$26,M119),MIN($C$26,L119)),0))</ns0:f>
        <ns0:v/>
      </ns0:c>
      <ns0:c r="L120" s="29" t="str">
        <ns0:f>IF(A120="","",MAX(0,L119-IF(B120="B",K120,0)))</ns0:f>
        <ns0:v/>
      </ns0:c>
      <ns0:c r="M120" s="29" t="str">
        <ns0:f>IF(A120="","",MAX(0,M119-IF(B120="A",K120,0)))</ns0:f>
        <ns0:v/>
      </ns0:c>
      <ns0:c r="N120" s="29" t="str">
        <ns0:f>IF(A120="","",N119+IF(AND(B120="A",F120=1),1,0))</ns0:f>
        <ns0:v/>
      </ns0:c>
      <ns0:c r="O120" s="29" t="str">
        <ns0:f>IF(A120="","",O119+IF(AND(B120="B",F120=1),1,0))</ns0:f>
        <ns0:v/>
      </ns0:c>
      <ns0:c r="P120" s="30" t="str">
        <ns0:f>IF(A120="","",IF(L120&lt;=0,"B Wins",IF(M120&lt;=0,"A Wins","Ongoing")))</ns0:f>
        <ns0:v/>
      </ns0:c>
    </ns0:row>
    <ns0:row r="121" ht="24" customHeight="1" s="4">
      <ns0:c r="A121" s="27" t="str">
        <ns0:f>IF(P120="Ongoing",A120+1,"")</ns0:f>
        <ns0:v/>
      </ns0:c>
      <ns0:c r="B121" s="28" t="str">
        <ns0:f>IF(A121="","",IF(MOD(A121,2)=1,$B$30,IF($B$30="A","B","A")))</ns0:f>
        <ns0:v/>
      </ns0:c>
      <ns0:c r="C121" s="27" t="str">
        <ns0:f>IF(A121="","",IF(A121&lt;=2,2,IF(A121&lt;=4,4,5)))</ns0:f>
        <ns0:v/>
      </ns0:c>
      <ns0:c r="D121" s="27" t="str">
        <ns0:f>IF(A121="","",IF(B121="A",I120,J120))</ns0:f>
        <ns0:v/>
      </ns0:c>
      <ns0:c r="E121" s="27" t="str">
        <ns0:f>IF(A121="","",IF(B121="A",$B$24,$C$24))</ns0:f>
        <ns0:v/>
      </ns0:c>
      <ns0:c r="F121" s="27" t="str">
        <ns0:f>IF(A121="","",IF(D121+E121&gt;=IF(B121="A",$B$17,$C$17),MIN(1,C121),0))</ns0:f>
        <ns0:v/>
      </ns0:c>
      <ns0:c r="G121" s="28" t="str">
        <ns0:f>IF(A121="","",IF(F121=1,"Normal Attack","Pass: insufficient AP"))</ns0:f>
        <ns0:v/>
      </ns0:c>
      <ns0:c r="H121" s="27" t="str">
        <ns0:f>IF(A121="","",IF(F121=1,IF(B121="A",$B$16,$C$16),0))</ns0:f>
        <ns0:v/>
      </ns0:c>
      <ns0:c r="I121" s="27" t="str">
        <ns0:f>IF(A121="","",I120+IF(B121="A",E121-H121,0))</ns0:f>
        <ns0:v/>
      </ns0:c>
      <ns0:c r="J121" s="27" t="str">
        <ns0:f>IF(A121="","",J120+IF(B121="B",E121-H121,0))</ns0:f>
        <ns0:v/>
      </ns0:c>
      <ns0:c r="K121" s="27" t="str">
        <ns0:f>IF(A121="","",IF(F121=1,IF(B121="A",MIN($B$26,M120),MIN($C$26,L120)),0))</ns0:f>
        <ns0:v/>
      </ns0:c>
      <ns0:c r="L121" s="27" t="str">
        <ns0:f>IF(A121="","",MAX(0,L120-IF(B121="B",K121,0)))</ns0:f>
        <ns0:v/>
      </ns0:c>
      <ns0:c r="M121" s="27" t="str">
        <ns0:f>IF(A121="","",MAX(0,M120-IF(B121="A",K121,0)))</ns0:f>
        <ns0:v/>
      </ns0:c>
      <ns0:c r="N121" s="27" t="str">
        <ns0:f>IF(A121="","",N120+IF(AND(B121="A",F121=1),1,0))</ns0:f>
        <ns0:v/>
      </ns0:c>
      <ns0:c r="O121" s="27" t="str">
        <ns0:f>IF(A121="","",O120+IF(AND(B121="B",F121=1),1,0))</ns0:f>
        <ns0:v/>
      </ns0:c>
      <ns0:c r="P121" s="28" t="str">
        <ns0:f>IF(A121="","",IF(L121&lt;=0,"B Wins",IF(M121&lt;=0,"A Wins","Ongoing")))</ns0:f>
        <ns0:v/>
      </ns0:c>
    </ns0:row>
    <ns0:row r="122" ht="24" customHeight="1" s="4">
      <ns0:c r="A122" s="29" t="str">
        <ns0:f>IF(P121="Ongoing",A121+1,"")</ns0:f>
        <ns0:v/>
      </ns0:c>
      <ns0:c r="B122" s="30" t="str">
        <ns0:f>IF(A122="","",IF(MOD(A122,2)=1,$B$30,IF($B$30="A","B","A")))</ns0:f>
        <ns0:v/>
      </ns0:c>
      <ns0:c r="C122" s="29" t="str">
        <ns0:f>IF(A122="","",IF(A122&lt;=2,2,IF(A122&lt;=4,4,5)))</ns0:f>
        <ns0:v/>
      </ns0:c>
      <ns0:c r="D122" s="29" t="str">
        <ns0:f>IF(A122="","",IF(B122="A",I121,J121))</ns0:f>
        <ns0:v/>
      </ns0:c>
      <ns0:c r="E122" s="29" t="str">
        <ns0:f>IF(A122="","",IF(B122="A",$B$24,$C$24))</ns0:f>
        <ns0:v/>
      </ns0:c>
      <ns0:c r="F122" s="29" t="str">
        <ns0:f>IF(A122="","",IF(D122+E122&gt;=IF(B122="A",$B$17,$C$17),MIN(1,C122),0))</ns0:f>
        <ns0:v/>
      </ns0:c>
      <ns0:c r="G122" s="30" t="str">
        <ns0:f>IF(A122="","",IF(F122=1,"Normal Attack","Pass: insufficient AP"))</ns0:f>
        <ns0:v/>
      </ns0:c>
      <ns0:c r="H122" s="29" t="str">
        <ns0:f>IF(A122="","",IF(F122=1,IF(B122="A",$B$16,$C$16),0))</ns0:f>
        <ns0:v/>
      </ns0:c>
      <ns0:c r="I122" s="29" t="str">
        <ns0:f>IF(A122="","",I121+IF(B122="A",E122-H122,0))</ns0:f>
        <ns0:v/>
      </ns0:c>
      <ns0:c r="J122" s="29" t="str">
        <ns0:f>IF(A122="","",J121+IF(B122="B",E122-H122,0))</ns0:f>
        <ns0:v/>
      </ns0:c>
      <ns0:c r="K122" s="29" t="str">
        <ns0:f>IF(A122="","",IF(F122=1,IF(B122="A",MIN($B$26,M121),MIN($C$26,L121)),0))</ns0:f>
        <ns0:v/>
      </ns0:c>
      <ns0:c r="L122" s="29" t="str">
        <ns0:f>IF(A122="","",MAX(0,L121-IF(B122="B",K122,0)))</ns0:f>
        <ns0:v/>
      </ns0:c>
      <ns0:c r="M122" s="29" t="str">
        <ns0:f>IF(A122="","",MAX(0,M121-IF(B122="A",K122,0)))</ns0:f>
        <ns0:v/>
      </ns0:c>
      <ns0:c r="N122" s="29" t="str">
        <ns0:f>IF(A122="","",N121+IF(AND(B122="A",F122=1),1,0))</ns0:f>
        <ns0:v/>
      </ns0:c>
      <ns0:c r="O122" s="29" t="str">
        <ns0:f>IF(A122="","",O121+IF(AND(B122="B",F122=1),1,0))</ns0:f>
        <ns0:v/>
      </ns0:c>
      <ns0:c r="P122" s="30" t="str">
        <ns0:f>IF(A122="","",IF(L122&lt;=0,"B Wins",IF(M122&lt;=0,"A Wins","Ongoing")))</ns0:f>
        <ns0:v/>
      </ns0:c>
    </ns0:row>
    <ns0:row r="123" ht="24" customHeight="1" s="4">
      <ns0:c r="A123" s="27" t="str">
        <ns0:f>IF(P122="Ongoing",A122+1,"")</ns0:f>
        <ns0:v/>
      </ns0:c>
      <ns0:c r="B123" s="28" t="str">
        <ns0:f>IF(A123="","",IF(MOD(A123,2)=1,$B$30,IF($B$30="A","B","A")))</ns0:f>
        <ns0:v/>
      </ns0:c>
      <ns0:c r="C123" s="27" t="str">
        <ns0:f>IF(A123="","",IF(A123&lt;=2,2,IF(A123&lt;=4,4,5)))</ns0:f>
        <ns0:v/>
      </ns0:c>
      <ns0:c r="D123" s="27" t="str">
        <ns0:f>IF(A123="","",IF(B123="A",I122,J122))</ns0:f>
        <ns0:v/>
      </ns0:c>
      <ns0:c r="E123" s="27" t="str">
        <ns0:f>IF(A123="","",IF(B123="A",$B$24,$C$24))</ns0:f>
        <ns0:v/>
      </ns0:c>
      <ns0:c r="F123" s="27" t="str">
        <ns0:f>IF(A123="","",IF(D123+E123&gt;=IF(B123="A",$B$17,$C$17),MIN(1,C123),0))</ns0:f>
        <ns0:v/>
      </ns0:c>
      <ns0:c r="G123" s="28" t="str">
        <ns0:f>IF(A123="","",IF(F123=1,"Normal Attack","Pass: insufficient AP"))</ns0:f>
        <ns0:v/>
      </ns0:c>
      <ns0:c r="H123" s="27" t="str">
        <ns0:f>IF(A123="","",IF(F123=1,IF(B123="A",$B$16,$C$16),0))</ns0:f>
        <ns0:v/>
      </ns0:c>
      <ns0:c r="I123" s="27" t="str">
        <ns0:f>IF(A123="","",I122+IF(B123="A",E123-H123,0))</ns0:f>
        <ns0:v/>
      </ns0:c>
      <ns0:c r="J123" s="27" t="str">
        <ns0:f>IF(A123="","",J122+IF(B123="B",E123-H123,0))</ns0:f>
        <ns0:v/>
      </ns0:c>
      <ns0:c r="K123" s="27" t="str">
        <ns0:f>IF(A123="","",IF(F123=1,IF(B123="A",MIN($B$26,M122),MIN($C$26,L122)),0))</ns0:f>
        <ns0:v/>
      </ns0:c>
      <ns0:c r="L123" s="27" t="str">
        <ns0:f>IF(A123="","",MAX(0,L122-IF(B123="B",K123,0)))</ns0:f>
        <ns0:v/>
      </ns0:c>
      <ns0:c r="M123" s="27" t="str">
        <ns0:f>IF(A123="","",MAX(0,M122-IF(B123="A",K123,0)))</ns0:f>
        <ns0:v/>
      </ns0:c>
      <ns0:c r="N123" s="27" t="str">
        <ns0:f>IF(A123="","",N122+IF(AND(B123="A",F123=1),1,0))</ns0:f>
        <ns0:v/>
      </ns0:c>
      <ns0:c r="O123" s="27" t="str">
        <ns0:f>IF(A123="","",O122+IF(AND(B123="B",F123=1),1,0))</ns0:f>
        <ns0:v/>
      </ns0:c>
      <ns0:c r="P123" s="28" t="str">
        <ns0:f>IF(A123="","",IF(L123&lt;=0,"B Wins",IF(M123&lt;=0,"A Wins","Ongoing")))</ns0:f>
        <ns0:v/>
      </ns0:c>
    </ns0:row>
    <ns0:row r="124" ht="24" customHeight="1" s="4">
      <ns0:c r="A124" s="29" t="str">
        <ns0:f>IF(P123="Ongoing",A123+1,"")</ns0:f>
        <ns0:v/>
      </ns0:c>
      <ns0:c r="B124" s="30" t="str">
        <ns0:f>IF(A124="","",IF(MOD(A124,2)=1,$B$30,IF($B$30="A","B","A")))</ns0:f>
        <ns0:v/>
      </ns0:c>
      <ns0:c r="C124" s="29" t="str">
        <ns0:f>IF(A124="","",IF(A124&lt;=2,2,IF(A124&lt;=4,4,5)))</ns0:f>
        <ns0:v/>
      </ns0:c>
      <ns0:c r="D124" s="29" t="str">
        <ns0:f>IF(A124="","",IF(B124="A",I123,J123))</ns0:f>
        <ns0:v/>
      </ns0:c>
      <ns0:c r="E124" s="29" t="str">
        <ns0:f>IF(A124="","",IF(B124="A",$B$24,$C$24))</ns0:f>
        <ns0:v/>
      </ns0:c>
      <ns0:c r="F124" s="29" t="str">
        <ns0:f>IF(A124="","",IF(D124+E124&gt;=IF(B124="A",$B$17,$C$17),MIN(1,C124),0))</ns0:f>
        <ns0:v/>
      </ns0:c>
      <ns0:c r="G124" s="30" t="str">
        <ns0:f>IF(A124="","",IF(F124=1,"Normal Attack","Pass: insufficient AP"))</ns0:f>
        <ns0:v/>
      </ns0:c>
      <ns0:c r="H124" s="29" t="str">
        <ns0:f>IF(A124="","",IF(F124=1,IF(B124="A",$B$16,$C$16),0))</ns0:f>
        <ns0:v/>
      </ns0:c>
      <ns0:c r="I124" s="29" t="str">
        <ns0:f>IF(A124="","",I123+IF(B124="A",E124-H124,0))</ns0:f>
        <ns0:v/>
      </ns0:c>
      <ns0:c r="J124" s="29" t="str">
        <ns0:f>IF(A124="","",J123+IF(B124="B",E124-H124,0))</ns0:f>
        <ns0:v/>
      </ns0:c>
      <ns0:c r="K124" s="29" t="str">
        <ns0:f>IF(A124="","",IF(F124=1,IF(B124="A",MIN($B$26,M123),MIN($C$26,L123)),0))</ns0:f>
        <ns0:v/>
      </ns0:c>
      <ns0:c r="L124" s="29" t="str">
        <ns0:f>IF(A124="","",MAX(0,L123-IF(B124="B",K124,0)))</ns0:f>
        <ns0:v/>
      </ns0:c>
      <ns0:c r="M124" s="29" t="str">
        <ns0:f>IF(A124="","",MAX(0,M123-IF(B124="A",K124,0)))</ns0:f>
        <ns0:v/>
      </ns0:c>
      <ns0:c r="N124" s="29" t="str">
        <ns0:f>IF(A124="","",N123+IF(AND(B124="A",F124=1),1,0))</ns0:f>
        <ns0:v/>
      </ns0:c>
      <ns0:c r="O124" s="29" t="str">
        <ns0:f>IF(A124="","",O123+IF(AND(B124="B",F124=1),1,0))</ns0:f>
        <ns0:v/>
      </ns0:c>
      <ns0:c r="P124" s="30" t="str">
        <ns0:f>IF(A124="","",IF(L124&lt;=0,"B Wins",IF(M124&lt;=0,"A Wins","Ongoing")))</ns0:f>
        <ns0:v/>
      </ns0:c>
    </ns0:row>
    <ns0:row r="125" ht="24" customHeight="1" s="4">
      <ns0:c r="A125" s="27" t="str">
        <ns0:f>IF(P124="Ongoing",A124+1,"")</ns0:f>
        <ns0:v/>
      </ns0:c>
      <ns0:c r="B125" s="28" t="str">
        <ns0:f>IF(A125="","",IF(MOD(A125,2)=1,$B$30,IF($B$30="A","B","A")))</ns0:f>
        <ns0:v/>
      </ns0:c>
      <ns0:c r="C125" s="27" t="str">
        <ns0:f>IF(A125="","",IF(A125&lt;=2,2,IF(A125&lt;=4,4,5)))</ns0:f>
        <ns0:v/>
      </ns0:c>
      <ns0:c r="D125" s="27" t="str">
        <ns0:f>IF(A125="","",IF(B125="A",I124,J124))</ns0:f>
        <ns0:v/>
      </ns0:c>
      <ns0:c r="E125" s="27" t="str">
        <ns0:f>IF(A125="","",IF(B125="A",$B$24,$C$24))</ns0:f>
        <ns0:v/>
      </ns0:c>
      <ns0:c r="F125" s="27" t="str">
        <ns0:f>IF(A125="","",IF(D125+E125&gt;=IF(B125="A",$B$17,$C$17),MIN(1,C125),0))</ns0:f>
        <ns0:v/>
      </ns0:c>
      <ns0:c r="G125" s="28" t="str">
        <ns0:f>IF(A125="","",IF(F125=1,"Normal Attack","Pass: insufficient AP"))</ns0:f>
        <ns0:v/>
      </ns0:c>
      <ns0:c r="H125" s="27" t="str">
        <ns0:f>IF(A125="","",IF(F125=1,IF(B125="A",$B$16,$C$16),0))</ns0:f>
        <ns0:v/>
      </ns0:c>
      <ns0:c r="I125" s="27" t="str">
        <ns0:f>IF(A125="","",I124+IF(B125="A",E125-H125,0))</ns0:f>
        <ns0:v/>
      </ns0:c>
      <ns0:c r="J125" s="27" t="str">
        <ns0:f>IF(A125="","",J124+IF(B125="B",E125-H125,0))</ns0:f>
        <ns0:v/>
      </ns0:c>
      <ns0:c r="K125" s="27" t="str">
        <ns0:f>IF(A125="","",IF(F125=1,IF(B125="A",MIN($B$26,M124),MIN($C$26,L124)),0))</ns0:f>
        <ns0:v/>
      </ns0:c>
      <ns0:c r="L125" s="27" t="str">
        <ns0:f>IF(A125="","",MAX(0,L124-IF(B125="B",K125,0)))</ns0:f>
        <ns0:v/>
      </ns0:c>
      <ns0:c r="M125" s="27" t="str">
        <ns0:f>IF(A125="","",MAX(0,M124-IF(B125="A",K125,0)))</ns0:f>
        <ns0:v/>
      </ns0:c>
      <ns0:c r="N125" s="27" t="str">
        <ns0:f>IF(A125="","",N124+IF(AND(B125="A",F125=1),1,0))</ns0:f>
        <ns0:v/>
      </ns0:c>
      <ns0:c r="O125" s="27" t="str">
        <ns0:f>IF(A125="","",O124+IF(AND(B125="B",F125=1),1,0))</ns0:f>
        <ns0:v/>
      </ns0:c>
      <ns0:c r="P125" s="28" t="str">
        <ns0:f>IF(A125="","",IF(L125&lt;=0,"B Wins",IF(M125&lt;=0,"A Wins","Ongoing")))</ns0:f>
        <ns0:v/>
      </ns0:c>
    </ns0:row>
    <ns0:row r="126" ht="24" customHeight="1" s="4">
      <ns0:c r="A126" s="29" t="str">
        <ns0:f>IF(P125="Ongoing",A125+1,"")</ns0:f>
        <ns0:v/>
      </ns0:c>
      <ns0:c r="B126" s="30" t="str">
        <ns0:f>IF(A126="","",IF(MOD(A126,2)=1,$B$30,IF($B$30="A","B","A")))</ns0:f>
        <ns0:v/>
      </ns0:c>
      <ns0:c r="C126" s="29" t="str">
        <ns0:f>IF(A126="","",IF(A126&lt;=2,2,IF(A126&lt;=4,4,5)))</ns0:f>
        <ns0:v/>
      </ns0:c>
      <ns0:c r="D126" s="29" t="str">
        <ns0:f>IF(A126="","",IF(B126="A",I125,J125))</ns0:f>
        <ns0:v/>
      </ns0:c>
      <ns0:c r="E126" s="29" t="str">
        <ns0:f>IF(A126="","",IF(B126="A",$B$24,$C$24))</ns0:f>
        <ns0:v/>
      </ns0:c>
      <ns0:c r="F126" s="29" t="str">
        <ns0:f>IF(A126="","",IF(D126+E126&gt;=IF(B126="A",$B$17,$C$17),MIN(1,C126),0))</ns0:f>
        <ns0:v/>
      </ns0:c>
      <ns0:c r="G126" s="30" t="str">
        <ns0:f>IF(A126="","",IF(F126=1,"Normal Attack","Pass: insufficient AP"))</ns0:f>
        <ns0:v/>
      </ns0:c>
      <ns0:c r="H126" s="29" t="str">
        <ns0:f>IF(A126="","",IF(F126=1,IF(B126="A",$B$16,$C$16),0))</ns0:f>
        <ns0:v/>
      </ns0:c>
      <ns0:c r="I126" s="29" t="str">
        <ns0:f>IF(A126="","",I125+IF(B126="A",E126-H126,0))</ns0:f>
        <ns0:v/>
      </ns0:c>
      <ns0:c r="J126" s="29" t="str">
        <ns0:f>IF(A126="","",J125+IF(B126="B",E126-H126,0))</ns0:f>
        <ns0:v/>
      </ns0:c>
      <ns0:c r="K126" s="29" t="str">
        <ns0:f>IF(A126="","",IF(F126=1,IF(B126="A",MIN($B$26,M125),MIN($C$26,L125)),0))</ns0:f>
        <ns0:v/>
      </ns0:c>
      <ns0:c r="L126" s="29" t="str">
        <ns0:f>IF(A126="","",MAX(0,L125-IF(B126="B",K126,0)))</ns0:f>
        <ns0:v/>
      </ns0:c>
      <ns0:c r="M126" s="29" t="str">
        <ns0:f>IF(A126="","",MAX(0,M125-IF(B126="A",K126,0)))</ns0:f>
        <ns0:v/>
      </ns0:c>
      <ns0:c r="N126" s="29" t="str">
        <ns0:f>IF(A126="","",N125+IF(AND(B126="A",F126=1),1,0))</ns0:f>
        <ns0:v/>
      </ns0:c>
      <ns0:c r="O126" s="29" t="str">
        <ns0:f>IF(A126="","",O125+IF(AND(B126="B",F126=1),1,0))</ns0:f>
        <ns0:v/>
      </ns0:c>
      <ns0:c r="P126" s="30" t="str">
        <ns0:f>IF(A126="","",IF(L126&lt;=0,"B Wins",IF(M126&lt;=0,"A Wins","Ongoing")))</ns0:f>
        <ns0:v/>
      </ns0:c>
    </ns0:row>
    <ns0:row r="127" ht="24" customHeight="1" s="4">
      <ns0:c r="A127" s="27" t="str">
        <ns0:f>IF(P126="Ongoing",A126+1,"")</ns0:f>
        <ns0:v/>
      </ns0:c>
      <ns0:c r="B127" s="28" t="str">
        <ns0:f>IF(A127="","",IF(MOD(A127,2)=1,$B$30,IF($B$30="A","B","A")))</ns0:f>
        <ns0:v/>
      </ns0:c>
      <ns0:c r="C127" s="27" t="str">
        <ns0:f>IF(A127="","",IF(A127&lt;=2,2,IF(A127&lt;=4,4,5)))</ns0:f>
        <ns0:v/>
      </ns0:c>
      <ns0:c r="D127" s="27" t="str">
        <ns0:f>IF(A127="","",IF(B127="A",I126,J126))</ns0:f>
        <ns0:v/>
      </ns0:c>
      <ns0:c r="E127" s="27" t="str">
        <ns0:f>IF(A127="","",IF(B127="A",$B$24,$C$24))</ns0:f>
        <ns0:v/>
      </ns0:c>
      <ns0:c r="F127" s="27" t="str">
        <ns0:f>IF(A127="","",IF(D127+E127&gt;=IF(B127="A",$B$17,$C$17),MIN(1,C127),0))</ns0:f>
        <ns0:v/>
      </ns0:c>
      <ns0:c r="G127" s="28" t="str">
        <ns0:f>IF(A127="","",IF(F127=1,"Normal Attack","Pass: insufficient AP"))</ns0:f>
        <ns0:v/>
      </ns0:c>
      <ns0:c r="H127" s="27" t="str">
        <ns0:f>IF(A127="","",IF(F127=1,IF(B127="A",$B$16,$C$16),0))</ns0:f>
        <ns0:v/>
      </ns0:c>
      <ns0:c r="I127" s="27" t="str">
        <ns0:f>IF(A127="","",I126+IF(B127="A",E127-H127,0))</ns0:f>
        <ns0:v/>
      </ns0:c>
      <ns0:c r="J127" s="27" t="str">
        <ns0:f>IF(A127="","",J126+IF(B127="B",E127-H127,0))</ns0:f>
        <ns0:v/>
      </ns0:c>
      <ns0:c r="K127" s="27" t="str">
        <ns0:f>IF(A127="","",IF(F127=1,IF(B127="A",MIN($B$26,M126),MIN($C$26,L126)),0))</ns0:f>
        <ns0:v/>
      </ns0:c>
      <ns0:c r="L127" s="27" t="str">
        <ns0:f>IF(A127="","",MAX(0,L126-IF(B127="B",K127,0)))</ns0:f>
        <ns0:v/>
      </ns0:c>
      <ns0:c r="M127" s="27" t="str">
        <ns0:f>IF(A127="","",MAX(0,M126-IF(B127="A",K127,0)))</ns0:f>
        <ns0:v/>
      </ns0:c>
      <ns0:c r="N127" s="27" t="str">
        <ns0:f>IF(A127="","",N126+IF(AND(B127="A",F127=1),1,0))</ns0:f>
        <ns0:v/>
      </ns0:c>
      <ns0:c r="O127" s="27" t="str">
        <ns0:f>IF(A127="","",O126+IF(AND(B127="B",F127=1),1,0))</ns0:f>
        <ns0:v/>
      </ns0:c>
      <ns0:c r="P127" s="28" t="str">
        <ns0:f>IF(A127="","",IF(L127&lt;=0,"B Wins",IF(M127&lt;=0,"A Wins","Ongoing")))</ns0:f>
        <ns0:v/>
      </ns0:c>
    </ns0:row>
    <ns0:row r="128" ht="24" customHeight="1" s="4">
      <ns0:c r="A128" s="29" t="str">
        <ns0:f>IF(P127="Ongoing",A127+1,"")</ns0:f>
        <ns0:v/>
      </ns0:c>
      <ns0:c r="B128" s="30" t="str">
        <ns0:f>IF(A128="","",IF(MOD(A128,2)=1,$B$30,IF($B$30="A","B","A")))</ns0:f>
        <ns0:v/>
      </ns0:c>
      <ns0:c r="C128" s="29" t="str">
        <ns0:f>IF(A128="","",IF(A128&lt;=2,2,IF(A128&lt;=4,4,5)))</ns0:f>
        <ns0:v/>
      </ns0:c>
      <ns0:c r="D128" s="29" t="str">
        <ns0:f>IF(A128="","",IF(B128="A",I127,J127))</ns0:f>
        <ns0:v/>
      </ns0:c>
      <ns0:c r="E128" s="29" t="str">
        <ns0:f>IF(A128="","",IF(B128="A",$B$24,$C$24))</ns0:f>
        <ns0:v/>
      </ns0:c>
      <ns0:c r="F128" s="29" t="str">
        <ns0:f>IF(A128="","",IF(D128+E128&gt;=IF(B128="A",$B$17,$C$17),MIN(1,C128),0))</ns0:f>
        <ns0:v/>
      </ns0:c>
      <ns0:c r="G128" s="30" t="str">
        <ns0:f>IF(A128="","",IF(F128=1,"Normal Attack","Pass: insufficient AP"))</ns0:f>
        <ns0:v/>
      </ns0:c>
      <ns0:c r="H128" s="29" t="str">
        <ns0:f>IF(A128="","",IF(F128=1,IF(B128="A",$B$16,$C$16),0))</ns0:f>
        <ns0:v/>
      </ns0:c>
      <ns0:c r="I128" s="29" t="str">
        <ns0:f>IF(A128="","",I127+IF(B128="A",E128-H128,0))</ns0:f>
        <ns0:v/>
      </ns0:c>
      <ns0:c r="J128" s="29" t="str">
        <ns0:f>IF(A128="","",J127+IF(B128="B",E128-H128,0))</ns0:f>
        <ns0:v/>
      </ns0:c>
      <ns0:c r="K128" s="29" t="str">
        <ns0:f>IF(A128="","",IF(F128=1,IF(B128="A",MIN($B$26,M127),MIN($C$26,L127)),0))</ns0:f>
        <ns0:v/>
      </ns0:c>
      <ns0:c r="L128" s="29" t="str">
        <ns0:f>IF(A128="","",MAX(0,L127-IF(B128="B",K128,0)))</ns0:f>
        <ns0:v/>
      </ns0:c>
      <ns0:c r="M128" s="29" t="str">
        <ns0:f>IF(A128="","",MAX(0,M127-IF(B128="A",K128,0)))</ns0:f>
        <ns0:v/>
      </ns0:c>
      <ns0:c r="N128" s="29" t="str">
        <ns0:f>IF(A128="","",N127+IF(AND(B128="A",F128=1),1,0))</ns0:f>
        <ns0:v/>
      </ns0:c>
      <ns0:c r="O128" s="29" t="str">
        <ns0:f>IF(A128="","",O127+IF(AND(B128="B",F128=1),1,0))</ns0:f>
        <ns0:v/>
      </ns0:c>
      <ns0:c r="P128" s="30" t="str">
        <ns0:f>IF(A128="","",IF(L128&lt;=0,"B Wins",IF(M128&lt;=0,"A Wins","Ongoing")))</ns0:f>
        <ns0:v/>
      </ns0:c>
    </ns0:row>
    <ns0:row r="129" ht="24" customHeight="1" s="4">
      <ns0:c r="A129" s="27" t="str">
        <ns0:f>IF(P128="Ongoing",A128+1,"")</ns0:f>
        <ns0:v/>
      </ns0:c>
      <ns0:c r="B129" s="28" t="str">
        <ns0:f>IF(A129="","",IF(MOD(A129,2)=1,$B$30,IF($B$30="A","B","A")))</ns0:f>
        <ns0:v/>
      </ns0:c>
      <ns0:c r="C129" s="27" t="str">
        <ns0:f>IF(A129="","",IF(A129&lt;=2,2,IF(A129&lt;=4,4,5)))</ns0:f>
        <ns0:v/>
      </ns0:c>
      <ns0:c r="D129" s="27" t="str">
        <ns0:f>IF(A129="","",IF(B129="A",I128,J128))</ns0:f>
        <ns0:v/>
      </ns0:c>
      <ns0:c r="E129" s="27" t="str">
        <ns0:f>IF(A129="","",IF(B129="A",$B$24,$C$24))</ns0:f>
        <ns0:v/>
      </ns0:c>
      <ns0:c r="F129" s="27" t="str">
        <ns0:f>IF(A129="","",IF(D129+E129&gt;=IF(B129="A",$B$17,$C$17),MIN(1,C129),0))</ns0:f>
        <ns0:v/>
      </ns0:c>
      <ns0:c r="G129" s="28" t="str">
        <ns0:f>IF(A129="","",IF(F129=1,"Normal Attack","Pass: insufficient AP"))</ns0:f>
        <ns0:v/>
      </ns0:c>
      <ns0:c r="H129" s="27" t="str">
        <ns0:f>IF(A129="","",IF(F129=1,IF(B129="A",$B$16,$C$16),0))</ns0:f>
        <ns0:v/>
      </ns0:c>
      <ns0:c r="I129" s="27" t="str">
        <ns0:f>IF(A129="","",I128+IF(B129="A",E129-H129,0))</ns0:f>
        <ns0:v/>
      </ns0:c>
      <ns0:c r="J129" s="27" t="str">
        <ns0:f>IF(A129="","",J128+IF(B129="B",E129-H129,0))</ns0:f>
        <ns0:v/>
      </ns0:c>
      <ns0:c r="K129" s="27" t="str">
        <ns0:f>IF(A129="","",IF(F129=1,IF(B129="A",MIN($B$26,M128),MIN($C$26,L128)),0))</ns0:f>
        <ns0:v/>
      </ns0:c>
      <ns0:c r="L129" s="27" t="str">
        <ns0:f>IF(A129="","",MAX(0,L128-IF(B129="B",K129,0)))</ns0:f>
        <ns0:v/>
      </ns0:c>
      <ns0:c r="M129" s="27" t="str">
        <ns0:f>IF(A129="","",MAX(0,M128-IF(B129="A",K129,0)))</ns0:f>
        <ns0:v/>
      </ns0:c>
      <ns0:c r="N129" s="27" t="str">
        <ns0:f>IF(A129="","",N128+IF(AND(B129="A",F129=1),1,0))</ns0:f>
        <ns0:v/>
      </ns0:c>
      <ns0:c r="O129" s="27" t="str">
        <ns0:f>IF(A129="","",O128+IF(AND(B129="B",F129=1),1,0))</ns0:f>
        <ns0:v/>
      </ns0:c>
      <ns0:c r="P129" s="28" t="str">
        <ns0:f>IF(A129="","",IF(L129&lt;=0,"B Wins",IF(M129&lt;=0,"A Wins","Ongoing")))</ns0:f>
        <ns0:v/>
      </ns0:c>
    </ns0:row>
    <ns0:row r="130" ht="24" customHeight="1" s="4">
      <ns0:c r="A130" s="29" t="str">
        <ns0:f>IF(P129="Ongoing",A129+1,"")</ns0:f>
        <ns0:v/>
      </ns0:c>
      <ns0:c r="B130" s="30" t="str">
        <ns0:f>IF(A130="","",IF(MOD(A130,2)=1,$B$30,IF($B$30="A","B","A")))</ns0:f>
        <ns0:v/>
      </ns0:c>
      <ns0:c r="C130" s="29" t="str">
        <ns0:f>IF(A130="","",IF(A130&lt;=2,2,IF(A130&lt;=4,4,5)))</ns0:f>
        <ns0:v/>
      </ns0:c>
      <ns0:c r="D130" s="29" t="str">
        <ns0:f>IF(A130="","",IF(B130="A",I129,J129))</ns0:f>
        <ns0:v/>
      </ns0:c>
      <ns0:c r="E130" s="29" t="str">
        <ns0:f>IF(A130="","",IF(B130="A",$B$24,$C$24))</ns0:f>
        <ns0:v/>
      </ns0:c>
      <ns0:c r="F130" s="29" t="str">
        <ns0:f>IF(A130="","",IF(D130+E130&gt;=IF(B130="A",$B$17,$C$17),MIN(1,C130),0))</ns0:f>
        <ns0:v/>
      </ns0:c>
      <ns0:c r="G130" s="30" t="str">
        <ns0:f>IF(A130="","",IF(F130=1,"Normal Attack","Pass: insufficient AP"))</ns0:f>
        <ns0:v/>
      </ns0:c>
      <ns0:c r="H130" s="29" t="str">
        <ns0:f>IF(A130="","",IF(F130=1,IF(B130="A",$B$16,$C$16),0))</ns0:f>
        <ns0:v/>
      </ns0:c>
      <ns0:c r="I130" s="29" t="str">
        <ns0:f>IF(A130="","",I129+IF(B130="A",E130-H130,0))</ns0:f>
        <ns0:v/>
      </ns0:c>
      <ns0:c r="J130" s="29" t="str">
        <ns0:f>IF(A130="","",J129+IF(B130="B",E130-H130,0))</ns0:f>
        <ns0:v/>
      </ns0:c>
      <ns0:c r="K130" s="29" t="str">
        <ns0:f>IF(A130="","",IF(F130=1,IF(B130="A",MIN($B$26,M129),MIN($C$26,L129)),0))</ns0:f>
        <ns0:v/>
      </ns0:c>
      <ns0:c r="L130" s="29" t="str">
        <ns0:f>IF(A130="","",MAX(0,L129-IF(B130="B",K130,0)))</ns0:f>
        <ns0:v/>
      </ns0:c>
      <ns0:c r="M130" s="29" t="str">
        <ns0:f>IF(A130="","",MAX(0,M129-IF(B130="A",K130,0)))</ns0:f>
        <ns0:v/>
      </ns0:c>
      <ns0:c r="N130" s="29" t="str">
        <ns0:f>IF(A130="","",N129+IF(AND(B130="A",F130=1),1,0))</ns0:f>
        <ns0:v/>
      </ns0:c>
      <ns0:c r="O130" s="29" t="str">
        <ns0:f>IF(A130="","",O129+IF(AND(B130="B",F130=1),1,0))</ns0:f>
        <ns0:v/>
      </ns0:c>
      <ns0:c r="P130" s="30" t="str">
        <ns0:f>IF(A130="","",IF(L130&lt;=0,"B Wins",IF(M130&lt;=0,"A Wins","Ongoing")))</ns0:f>
        <ns0:v/>
      </ns0:c>
    </ns0:row>
    <ns0:row r="131" ht="24" customHeight="1" s="4">
      <ns0:c r="A131" s="27" t="str">
        <ns0:f>IF(P130="Ongoing",A130+1,"")</ns0:f>
        <ns0:v/>
      </ns0:c>
      <ns0:c r="B131" s="28" t="str">
        <ns0:f>IF(A131="","",IF(MOD(A131,2)=1,$B$30,IF($B$30="A","B","A")))</ns0:f>
        <ns0:v/>
      </ns0:c>
      <ns0:c r="C131" s="27" t="str">
        <ns0:f>IF(A131="","",IF(A131&lt;=2,2,IF(A131&lt;=4,4,5)))</ns0:f>
        <ns0:v/>
      </ns0:c>
      <ns0:c r="D131" s="27" t="str">
        <ns0:f>IF(A131="","",IF(B131="A",I130,J130))</ns0:f>
        <ns0:v/>
      </ns0:c>
      <ns0:c r="E131" s="27" t="str">
        <ns0:f>IF(A131="","",IF(B131="A",$B$24,$C$24))</ns0:f>
        <ns0:v/>
      </ns0:c>
      <ns0:c r="F131" s="27" t="str">
        <ns0:f>IF(A131="","",IF(D131+E131&gt;=IF(B131="A",$B$17,$C$17),MIN(1,C131),0))</ns0:f>
        <ns0:v/>
      </ns0:c>
      <ns0:c r="G131" s="28" t="str">
        <ns0:f>IF(A131="","",IF(F131=1,"Normal Attack","Pass: insufficient AP"))</ns0:f>
        <ns0:v/>
      </ns0:c>
      <ns0:c r="H131" s="27" t="str">
        <ns0:f>IF(A131="","",IF(F131=1,IF(B131="A",$B$16,$C$16),0))</ns0:f>
        <ns0:v/>
      </ns0:c>
      <ns0:c r="I131" s="27" t="str">
        <ns0:f>IF(A131="","",I130+IF(B131="A",E131-H131,0))</ns0:f>
        <ns0:v/>
      </ns0:c>
      <ns0:c r="J131" s="27" t="str">
        <ns0:f>IF(A131="","",J130+IF(B131="B",E131-H131,0))</ns0:f>
        <ns0:v/>
      </ns0:c>
      <ns0:c r="K131" s="27" t="str">
        <ns0:f>IF(A131="","",IF(F131=1,IF(B131="A",MIN($B$26,M130),MIN($C$26,L130)),0))</ns0:f>
        <ns0:v/>
      </ns0:c>
      <ns0:c r="L131" s="27" t="str">
        <ns0:f>IF(A131="","",MAX(0,L130-IF(B131="B",K131,0)))</ns0:f>
        <ns0:v/>
      </ns0:c>
      <ns0:c r="M131" s="27" t="str">
        <ns0:f>IF(A131="","",MAX(0,M130-IF(B131="A",K131,0)))</ns0:f>
        <ns0:v/>
      </ns0:c>
      <ns0:c r="N131" s="27" t="str">
        <ns0:f>IF(A131="","",N130+IF(AND(B131="A",F131=1),1,0))</ns0:f>
        <ns0:v/>
      </ns0:c>
      <ns0:c r="O131" s="27" t="str">
        <ns0:f>IF(A131="","",O130+IF(AND(B131="B",F131=1),1,0))</ns0:f>
        <ns0:v/>
      </ns0:c>
      <ns0:c r="P131" s="28" t="str">
        <ns0:f>IF(A131="","",IF(L131&lt;=0,"B Wins",IF(M131&lt;=0,"A Wins","Ongoing")))</ns0:f>
        <ns0:v/>
      </ns0:c>
    </ns0:row>
    <ns0:row r="132" ht="24" customHeight="1" s="4">
      <ns0:c r="A132" s="29" t="str">
        <ns0:f>IF(P131="Ongoing",A131+1,"")</ns0:f>
        <ns0:v/>
      </ns0:c>
      <ns0:c r="B132" s="30" t="str">
        <ns0:f>IF(A132="","",IF(MOD(A132,2)=1,$B$30,IF($B$30="A","B","A")))</ns0:f>
        <ns0:v/>
      </ns0:c>
      <ns0:c r="C132" s="29" t="str">
        <ns0:f>IF(A132="","",IF(A132&lt;=2,2,IF(A132&lt;=4,4,5)))</ns0:f>
        <ns0:v/>
      </ns0:c>
      <ns0:c r="D132" s="29" t="str">
        <ns0:f>IF(A132="","",IF(B132="A",I131,J131))</ns0:f>
        <ns0:v/>
      </ns0:c>
      <ns0:c r="E132" s="29" t="str">
        <ns0:f>IF(A132="","",IF(B132="A",$B$24,$C$24))</ns0:f>
        <ns0:v/>
      </ns0:c>
      <ns0:c r="F132" s="29" t="str">
        <ns0:f>IF(A132="","",IF(D132+E132&gt;=IF(B132="A",$B$17,$C$17),MIN(1,C132),0))</ns0:f>
        <ns0:v/>
      </ns0:c>
      <ns0:c r="G132" s="30" t="str">
        <ns0:f>IF(A132="","",IF(F132=1,"Normal Attack","Pass: insufficient AP"))</ns0:f>
        <ns0:v/>
      </ns0:c>
      <ns0:c r="H132" s="29" t="str">
        <ns0:f>IF(A132="","",IF(F132=1,IF(B132="A",$B$16,$C$16),0))</ns0:f>
        <ns0:v/>
      </ns0:c>
      <ns0:c r="I132" s="29" t="str">
        <ns0:f>IF(A132="","",I131+IF(B132="A",E132-H132,0))</ns0:f>
        <ns0:v/>
      </ns0:c>
      <ns0:c r="J132" s="29" t="str">
        <ns0:f>IF(A132="","",J131+IF(B132="B",E132-H132,0))</ns0:f>
        <ns0:v/>
      </ns0:c>
      <ns0:c r="K132" s="29" t="str">
        <ns0:f>IF(A132="","",IF(F132=1,IF(B132="A",MIN($B$26,M131),MIN($C$26,L131)),0))</ns0:f>
        <ns0:v/>
      </ns0:c>
      <ns0:c r="L132" s="29" t="str">
        <ns0:f>IF(A132="","",MAX(0,L131-IF(B132="B",K132,0)))</ns0:f>
        <ns0:v/>
      </ns0:c>
      <ns0:c r="M132" s="29" t="str">
        <ns0:f>IF(A132="","",MAX(0,M131-IF(B132="A",K132,0)))</ns0:f>
        <ns0:v/>
      </ns0:c>
      <ns0:c r="N132" s="29" t="str">
        <ns0:f>IF(A132="","",N131+IF(AND(B132="A",F132=1),1,0))</ns0:f>
        <ns0:v/>
      </ns0:c>
      <ns0:c r="O132" s="29" t="str">
        <ns0:f>IF(A132="","",O131+IF(AND(B132="B",F132=1),1,0))</ns0:f>
        <ns0:v/>
      </ns0:c>
      <ns0:c r="P132" s="30" t="str">
        <ns0:f>IF(A132="","",IF(L132&lt;=0,"B Wins",IF(M132&lt;=0,"A Wins","Ongoing")))</ns0:f>
        <ns0:v/>
      </ns0:c>
    </ns0:row>
    <ns0:row r="133" ht="24" customHeight="1" s="4">
      <ns0:c r="A133" s="27" t="str">
        <ns0:f>IF(P132="Ongoing",A132+1,"")</ns0:f>
        <ns0:v/>
      </ns0:c>
      <ns0:c r="B133" s="28" t="str">
        <ns0:f>IF(A133="","",IF(MOD(A133,2)=1,$B$30,IF($B$30="A","B","A")))</ns0:f>
        <ns0:v/>
      </ns0:c>
      <ns0:c r="C133" s="27" t="str">
        <ns0:f>IF(A133="","",IF(A133&lt;=2,2,IF(A133&lt;=4,4,5)))</ns0:f>
        <ns0:v/>
      </ns0:c>
      <ns0:c r="D133" s="27" t="str">
        <ns0:f>IF(A133="","",IF(B133="A",I132,J132))</ns0:f>
        <ns0:v/>
      </ns0:c>
      <ns0:c r="E133" s="27" t="str">
        <ns0:f>IF(A133="","",IF(B133="A",$B$24,$C$24))</ns0:f>
        <ns0:v/>
      </ns0:c>
      <ns0:c r="F133" s="27" t="str">
        <ns0:f>IF(A133="","",IF(D133+E133&gt;=IF(B133="A",$B$17,$C$17),MIN(1,C133),0))</ns0:f>
        <ns0:v/>
      </ns0:c>
      <ns0:c r="G133" s="28" t="str">
        <ns0:f>IF(A133="","",IF(F133=1,"Normal Attack","Pass: insufficient AP"))</ns0:f>
        <ns0:v/>
      </ns0:c>
      <ns0:c r="H133" s="27" t="str">
        <ns0:f>IF(A133="","",IF(F133=1,IF(B133="A",$B$16,$C$16),0))</ns0:f>
        <ns0:v/>
      </ns0:c>
      <ns0:c r="I133" s="27" t="str">
        <ns0:f>IF(A133="","",I132+IF(B133="A",E133-H133,0))</ns0:f>
        <ns0:v/>
      </ns0:c>
      <ns0:c r="J133" s="27" t="str">
        <ns0:f>IF(A133="","",J132+IF(B133="B",E133-H133,0))</ns0:f>
        <ns0:v/>
      </ns0:c>
      <ns0:c r="K133" s="27" t="str">
        <ns0:f>IF(A133="","",IF(F133=1,IF(B133="A",MIN($B$26,M132),MIN($C$26,L132)),0))</ns0:f>
        <ns0:v/>
      </ns0:c>
      <ns0:c r="L133" s="27" t="str">
        <ns0:f>IF(A133="","",MAX(0,L132-IF(B133="B",K133,0)))</ns0:f>
        <ns0:v/>
      </ns0:c>
      <ns0:c r="M133" s="27" t="str">
        <ns0:f>IF(A133="","",MAX(0,M132-IF(B133="A",K133,0)))</ns0:f>
        <ns0:v/>
      </ns0:c>
      <ns0:c r="N133" s="27" t="str">
        <ns0:f>IF(A133="","",N132+IF(AND(B133="A",F133=1),1,0))</ns0:f>
        <ns0:v/>
      </ns0:c>
      <ns0:c r="O133" s="27" t="str">
        <ns0:f>IF(A133="","",O132+IF(AND(B133="B",F133=1),1,0))</ns0:f>
        <ns0:v/>
      </ns0:c>
      <ns0:c r="P133" s="28" t="str">
        <ns0:f>IF(A133="","",IF(L133&lt;=0,"B Wins",IF(M133&lt;=0,"A Wins","Ongoing")))</ns0:f>
        <ns0:v/>
      </ns0:c>
    </ns0:row>
    <ns0:row r="134" ht="24" customHeight="1" s="4">
      <ns0:c r="A134" s="29" t="str">
        <ns0:f>IF(P133="Ongoing",A133+1,"")</ns0:f>
        <ns0:v/>
      </ns0:c>
      <ns0:c r="B134" s="30" t="str">
        <ns0:f>IF(A134="","",IF(MOD(A134,2)=1,$B$30,IF($B$30="A","B","A")))</ns0:f>
        <ns0:v/>
      </ns0:c>
      <ns0:c r="C134" s="29" t="str">
        <ns0:f>IF(A134="","",IF(A134&lt;=2,2,IF(A134&lt;=4,4,5)))</ns0:f>
        <ns0:v/>
      </ns0:c>
      <ns0:c r="D134" s="29" t="str">
        <ns0:f>IF(A134="","",IF(B134="A",I133,J133))</ns0:f>
        <ns0:v/>
      </ns0:c>
      <ns0:c r="E134" s="29" t="str">
        <ns0:f>IF(A134="","",IF(B134="A",$B$24,$C$24))</ns0:f>
        <ns0:v/>
      </ns0:c>
      <ns0:c r="F134" s="29" t="str">
        <ns0:f>IF(A134="","",IF(D134+E134&gt;=IF(B134="A",$B$17,$C$17),MIN(1,C134),0))</ns0:f>
        <ns0:v/>
      </ns0:c>
      <ns0:c r="G134" s="30" t="str">
        <ns0:f>IF(A134="","",IF(F134=1,"Normal Attack","Pass: insufficient AP"))</ns0:f>
        <ns0:v/>
      </ns0:c>
      <ns0:c r="H134" s="29" t="str">
        <ns0:f>IF(A134="","",IF(F134=1,IF(B134="A",$B$16,$C$16),0))</ns0:f>
        <ns0:v/>
      </ns0:c>
      <ns0:c r="I134" s="29" t="str">
        <ns0:f>IF(A134="","",I133+IF(B134="A",E134-H134,0))</ns0:f>
        <ns0:v/>
      </ns0:c>
      <ns0:c r="J134" s="29" t="str">
        <ns0:f>IF(A134="","",J133+IF(B134="B",E134-H134,0))</ns0:f>
        <ns0:v/>
      </ns0:c>
      <ns0:c r="K134" s="29" t="str">
        <ns0:f>IF(A134="","",IF(F134=1,IF(B134="A",MIN($B$26,M133),MIN($C$26,L133)),0))</ns0:f>
        <ns0:v/>
      </ns0:c>
      <ns0:c r="L134" s="29" t="str">
        <ns0:f>IF(A134="","",MAX(0,L133-IF(B134="B",K134,0)))</ns0:f>
        <ns0:v/>
      </ns0:c>
      <ns0:c r="M134" s="29" t="str">
        <ns0:f>IF(A134="","",MAX(0,M133-IF(B134="A",K134,0)))</ns0:f>
        <ns0:v/>
      </ns0:c>
      <ns0:c r="N134" s="29" t="str">
        <ns0:f>IF(A134="","",N133+IF(AND(B134="A",F134=1),1,0))</ns0:f>
        <ns0:v/>
      </ns0:c>
      <ns0:c r="O134" s="29" t="str">
        <ns0:f>IF(A134="","",O133+IF(AND(B134="B",F134=1),1,0))</ns0:f>
        <ns0:v/>
      </ns0:c>
      <ns0:c r="P134" s="30" t="str">
        <ns0:f>IF(A134="","",IF(L134&lt;=0,"B Wins",IF(M134&lt;=0,"A Wins","Ongoing")))</ns0:f>
        <ns0:v/>
      </ns0:c>
    </ns0:row>
    <ns0:row r="135" ht="24" customHeight="1" s="4">
      <ns0:c r="A135" s="27" t="str">
        <ns0:f>IF(P134="Ongoing",A134+1,"")</ns0:f>
        <ns0:v/>
      </ns0:c>
      <ns0:c r="B135" s="28" t="str">
        <ns0:f>IF(A135="","",IF(MOD(A135,2)=1,$B$30,IF($B$30="A","B","A")))</ns0:f>
        <ns0:v/>
      </ns0:c>
      <ns0:c r="C135" s="27" t="str">
        <ns0:f>IF(A135="","",IF(A135&lt;=2,2,IF(A135&lt;=4,4,5)))</ns0:f>
        <ns0:v/>
      </ns0:c>
      <ns0:c r="D135" s="27" t="str">
        <ns0:f>IF(A135="","",IF(B135="A",I134,J134))</ns0:f>
        <ns0:v/>
      </ns0:c>
      <ns0:c r="E135" s="27" t="str">
        <ns0:f>IF(A135="","",IF(B135="A",$B$24,$C$24))</ns0:f>
        <ns0:v/>
      </ns0:c>
      <ns0:c r="F135" s="27" t="str">
        <ns0:f>IF(A135="","",IF(D135+E135&gt;=IF(B135="A",$B$17,$C$17),MIN(1,C135),0))</ns0:f>
        <ns0:v/>
      </ns0:c>
      <ns0:c r="G135" s="28" t="str">
        <ns0:f>IF(A135="","",IF(F135=1,"Normal Attack","Pass: insufficient AP"))</ns0:f>
        <ns0:v/>
      </ns0:c>
      <ns0:c r="H135" s="27" t="str">
        <ns0:f>IF(A135="","",IF(F135=1,IF(B135="A",$B$16,$C$16),0))</ns0:f>
        <ns0:v/>
      </ns0:c>
      <ns0:c r="I135" s="27" t="str">
        <ns0:f>IF(A135="","",I134+IF(B135="A",E135-H135,0))</ns0:f>
        <ns0:v/>
      </ns0:c>
      <ns0:c r="J135" s="27" t="str">
        <ns0:f>IF(A135="","",J134+IF(B135="B",E135-H135,0))</ns0:f>
        <ns0:v/>
      </ns0:c>
      <ns0:c r="K135" s="27" t="str">
        <ns0:f>IF(A135="","",IF(F135=1,IF(B135="A",MIN($B$26,M134),MIN($C$26,L134)),0))</ns0:f>
        <ns0:v/>
      </ns0:c>
      <ns0:c r="L135" s="27" t="str">
        <ns0:f>IF(A135="","",MAX(0,L134-IF(B135="B",K135,0)))</ns0:f>
        <ns0:v/>
      </ns0:c>
      <ns0:c r="M135" s="27" t="str">
        <ns0:f>IF(A135="","",MAX(0,M134-IF(B135="A",K135,0)))</ns0:f>
        <ns0:v/>
      </ns0:c>
      <ns0:c r="N135" s="27" t="str">
        <ns0:f>IF(A135="","",N134+IF(AND(B135="A",F135=1),1,0))</ns0:f>
        <ns0:v/>
      </ns0:c>
      <ns0:c r="O135" s="27" t="str">
        <ns0:f>IF(A135="","",O134+IF(AND(B135="B",F135=1),1,0))</ns0:f>
        <ns0:v/>
      </ns0:c>
      <ns0:c r="P135" s="28" t="str">
        <ns0:f>IF(A135="","",IF(L135&lt;=0,"B Wins",IF(M135&lt;=0,"A Wins","Ongoing")))</ns0:f>
        <ns0:v/>
      </ns0:c>
    </ns0:row>
    <ns0:row r="136" ht="24" customHeight="1" s="4">
      <ns0:c r="A136" s="29" t="str">
        <ns0:f>IF(P135="Ongoing",A135+1,"")</ns0:f>
        <ns0:v/>
      </ns0:c>
      <ns0:c r="B136" s="30" t="str">
        <ns0:f>IF(A136="","",IF(MOD(A136,2)=1,$B$30,IF($B$30="A","B","A")))</ns0:f>
        <ns0:v/>
      </ns0:c>
      <ns0:c r="C136" s="29" t="str">
        <ns0:f>IF(A136="","",IF(A136&lt;=2,2,IF(A136&lt;=4,4,5)))</ns0:f>
        <ns0:v/>
      </ns0:c>
      <ns0:c r="D136" s="29" t="str">
        <ns0:f>IF(A136="","",IF(B136="A",I135,J135))</ns0:f>
        <ns0:v/>
      </ns0:c>
      <ns0:c r="E136" s="29" t="str">
        <ns0:f>IF(A136="","",IF(B136="A",$B$24,$C$24))</ns0:f>
        <ns0:v/>
      </ns0:c>
      <ns0:c r="F136" s="29" t="str">
        <ns0:f>IF(A136="","",IF(D136+E136&gt;=IF(B136="A",$B$17,$C$17),MIN(1,C136),0))</ns0:f>
        <ns0:v/>
      </ns0:c>
      <ns0:c r="G136" s="30" t="str">
        <ns0:f>IF(A136="","",IF(F136=1,"Normal Attack","Pass: insufficient AP"))</ns0:f>
        <ns0:v/>
      </ns0:c>
      <ns0:c r="H136" s="29" t="str">
        <ns0:f>IF(A136="","",IF(F136=1,IF(B136="A",$B$16,$C$16),0))</ns0:f>
        <ns0:v/>
      </ns0:c>
      <ns0:c r="I136" s="29" t="str">
        <ns0:f>IF(A136="","",I135+IF(B136="A",E136-H136,0))</ns0:f>
        <ns0:v/>
      </ns0:c>
      <ns0:c r="J136" s="29" t="str">
        <ns0:f>IF(A136="","",J135+IF(B136="B",E136-H136,0))</ns0:f>
        <ns0:v/>
      </ns0:c>
      <ns0:c r="K136" s="29" t="str">
        <ns0:f>IF(A136="","",IF(F136=1,IF(B136="A",MIN($B$26,M135),MIN($C$26,L135)),0))</ns0:f>
        <ns0:v/>
      </ns0:c>
      <ns0:c r="L136" s="29" t="str">
        <ns0:f>IF(A136="","",MAX(0,L135-IF(B136="B",K136,0)))</ns0:f>
        <ns0:v/>
      </ns0:c>
      <ns0:c r="M136" s="29" t="str">
        <ns0:f>IF(A136="","",MAX(0,M135-IF(B136="A",K136,0)))</ns0:f>
        <ns0:v/>
      </ns0:c>
      <ns0:c r="N136" s="29" t="str">
        <ns0:f>IF(A136="","",N135+IF(AND(B136="A",F136=1),1,0))</ns0:f>
        <ns0:v/>
      </ns0:c>
      <ns0:c r="O136" s="29" t="str">
        <ns0:f>IF(A136="","",O135+IF(AND(B136="B",F136=1),1,0))</ns0:f>
        <ns0:v/>
      </ns0:c>
      <ns0:c r="P136" s="30" t="str">
        <ns0:f>IF(A136="","",IF(L136&lt;=0,"B Wins",IF(M136&lt;=0,"A Wins","Ongoing")))</ns0:f>
        <ns0:v/>
      </ns0:c>
    </ns0:row>
    <ns0:row r="137" ht="24" customHeight="1" s="4">
      <ns0:c r="A137" s="27" t="str">
        <ns0:f>IF(P136="Ongoing",A136+1,"")</ns0:f>
        <ns0:v/>
      </ns0:c>
      <ns0:c r="B137" s="28" t="str">
        <ns0:f>IF(A137="","",IF(MOD(A137,2)=1,$B$30,IF($B$30="A","B","A")))</ns0:f>
        <ns0:v/>
      </ns0:c>
      <ns0:c r="C137" s="27" t="str">
        <ns0:f>IF(A137="","",IF(A137&lt;=2,2,IF(A137&lt;=4,4,5)))</ns0:f>
        <ns0:v/>
      </ns0:c>
      <ns0:c r="D137" s="27" t="str">
        <ns0:f>IF(A137="","",IF(B137="A",I136,J136))</ns0:f>
        <ns0:v/>
      </ns0:c>
      <ns0:c r="E137" s="27" t="str">
        <ns0:f>IF(A137="","",IF(B137="A",$B$24,$C$24))</ns0:f>
        <ns0:v/>
      </ns0:c>
      <ns0:c r="F137" s="27" t="str">
        <ns0:f>IF(A137="","",IF(D137+E137&gt;=IF(B137="A",$B$17,$C$17),MIN(1,C137),0))</ns0:f>
        <ns0:v/>
      </ns0:c>
      <ns0:c r="G137" s="28" t="str">
        <ns0:f>IF(A137="","",IF(F137=1,"Normal Attack","Pass: insufficient AP"))</ns0:f>
        <ns0:v/>
      </ns0:c>
      <ns0:c r="H137" s="27" t="str">
        <ns0:f>IF(A137="","",IF(F137=1,IF(B137="A",$B$16,$C$16),0))</ns0:f>
        <ns0:v/>
      </ns0:c>
      <ns0:c r="I137" s="27" t="str">
        <ns0:f>IF(A137="","",I136+IF(B137="A",E137-H137,0))</ns0:f>
        <ns0:v/>
      </ns0:c>
      <ns0:c r="J137" s="27" t="str">
        <ns0:f>IF(A137="","",J136+IF(B137="B",E137-H137,0))</ns0:f>
        <ns0:v/>
      </ns0:c>
      <ns0:c r="K137" s="27" t="str">
        <ns0:f>IF(A137="","",IF(F137=1,IF(B137="A",MIN($B$26,M136),MIN($C$26,L136)),0))</ns0:f>
        <ns0:v/>
      </ns0:c>
      <ns0:c r="L137" s="27" t="str">
        <ns0:f>IF(A137="","",MAX(0,L136-IF(B137="B",K137,0)))</ns0:f>
        <ns0:v/>
      </ns0:c>
      <ns0:c r="M137" s="27" t="str">
        <ns0:f>IF(A137="","",MAX(0,M136-IF(B137="A",K137,0)))</ns0:f>
        <ns0:v/>
      </ns0:c>
      <ns0:c r="N137" s="27" t="str">
        <ns0:f>IF(A137="","",N136+IF(AND(B137="A",F137=1),1,0))</ns0:f>
        <ns0:v/>
      </ns0:c>
      <ns0:c r="O137" s="27" t="str">
        <ns0:f>IF(A137="","",O136+IF(AND(B137="B",F137=1),1,0))</ns0:f>
        <ns0:v/>
      </ns0:c>
      <ns0:c r="P137" s="28" t="str">
        <ns0:f>IF(A137="","",IF(L137&lt;=0,"B Wins",IF(M137&lt;=0,"A Wins","Ongoing")))</ns0:f>
        <ns0:v/>
      </ns0:c>
    </ns0:row>
    <ns0:row r="138" ht="24" customHeight="1" s="4">
      <ns0:c r="A138" s="29" t="str">
        <ns0:f>IF(P137="Ongoing",A137+1,"")</ns0:f>
        <ns0:v/>
      </ns0:c>
      <ns0:c r="B138" s="30" t="str">
        <ns0:f>IF(A138="","",IF(MOD(A138,2)=1,$B$30,IF($B$30="A","B","A")))</ns0:f>
        <ns0:v/>
      </ns0:c>
      <ns0:c r="C138" s="29" t="str">
        <ns0:f>IF(A138="","",IF(A138&lt;=2,2,IF(A138&lt;=4,4,5)))</ns0:f>
        <ns0:v/>
      </ns0:c>
      <ns0:c r="D138" s="29" t="str">
        <ns0:f>IF(A138="","",IF(B138="A",I137,J137))</ns0:f>
        <ns0:v/>
      </ns0:c>
      <ns0:c r="E138" s="29" t="str">
        <ns0:f>IF(A138="","",IF(B138="A",$B$24,$C$24))</ns0:f>
        <ns0:v/>
      </ns0:c>
      <ns0:c r="F138" s="29" t="str">
        <ns0:f>IF(A138="","",IF(D138+E138&gt;=IF(B138="A",$B$17,$C$17),MIN(1,C138),0))</ns0:f>
        <ns0:v/>
      </ns0:c>
      <ns0:c r="G138" s="30" t="str">
        <ns0:f>IF(A138="","",IF(F138=1,"Normal Attack","Pass: insufficient AP"))</ns0:f>
        <ns0:v/>
      </ns0:c>
      <ns0:c r="H138" s="29" t="str">
        <ns0:f>IF(A138="","",IF(F138=1,IF(B138="A",$B$16,$C$16),0))</ns0:f>
        <ns0:v/>
      </ns0:c>
      <ns0:c r="I138" s="29" t="str">
        <ns0:f>IF(A138="","",I137+IF(B138="A",E138-H138,0))</ns0:f>
        <ns0:v/>
      </ns0:c>
      <ns0:c r="J138" s="29" t="str">
        <ns0:f>IF(A138="","",J137+IF(B138="B",E138-H138,0))</ns0:f>
        <ns0:v/>
      </ns0:c>
      <ns0:c r="K138" s="29" t="str">
        <ns0:f>IF(A138="","",IF(F138=1,IF(B138="A",MIN($B$26,M137),MIN($C$26,L137)),0))</ns0:f>
        <ns0:v/>
      </ns0:c>
      <ns0:c r="L138" s="29" t="str">
        <ns0:f>IF(A138="","",MAX(0,L137-IF(B138="B",K138,0)))</ns0:f>
        <ns0:v/>
      </ns0:c>
      <ns0:c r="M138" s="29" t="str">
        <ns0:f>IF(A138="","",MAX(0,M137-IF(B138="A",K138,0)))</ns0:f>
        <ns0:v/>
      </ns0:c>
      <ns0:c r="N138" s="29" t="str">
        <ns0:f>IF(A138="","",N137+IF(AND(B138="A",F138=1),1,0))</ns0:f>
        <ns0:v/>
      </ns0:c>
      <ns0:c r="O138" s="29" t="str">
        <ns0:f>IF(A138="","",O137+IF(AND(B138="B",F138=1),1,0))</ns0:f>
        <ns0:v/>
      </ns0:c>
      <ns0:c r="P138" s="30" t="str">
        <ns0:f>IF(A138="","",IF(L138&lt;=0,"B Wins",IF(M138&lt;=0,"A Wins","Ongoing")))</ns0:f>
        <ns0:v/>
      </ns0:c>
    </ns0:row>
    <ns0:row r="139" ht="24" customHeight="1" s="4">
      <ns0:c r="A139" s="27" t="str">
        <ns0:f>IF(P138="Ongoing",A138+1,"")</ns0:f>
        <ns0:v/>
      </ns0:c>
      <ns0:c r="B139" s="28" t="str">
        <ns0:f>IF(A139="","",IF(MOD(A139,2)=1,$B$30,IF($B$30="A","B","A")))</ns0:f>
        <ns0:v/>
      </ns0:c>
      <ns0:c r="C139" s="27" t="str">
        <ns0:f>IF(A139="","",IF(A139&lt;=2,2,IF(A139&lt;=4,4,5)))</ns0:f>
        <ns0:v/>
      </ns0:c>
      <ns0:c r="D139" s="27" t="str">
        <ns0:f>IF(A139="","",IF(B139="A",I138,J138))</ns0:f>
        <ns0:v/>
      </ns0:c>
      <ns0:c r="E139" s="27" t="str">
        <ns0:f>IF(A139="","",IF(B139="A",$B$24,$C$24))</ns0:f>
        <ns0:v/>
      </ns0:c>
      <ns0:c r="F139" s="27" t="str">
        <ns0:f>IF(A139="","",IF(D139+E139&gt;=IF(B139="A",$B$17,$C$17),MIN(1,C139),0))</ns0:f>
        <ns0:v/>
      </ns0:c>
      <ns0:c r="G139" s="28" t="str">
        <ns0:f>IF(A139="","",IF(F139=1,"Normal Attack","Pass: insufficient AP"))</ns0:f>
        <ns0:v/>
      </ns0:c>
      <ns0:c r="H139" s="27" t="str">
        <ns0:f>IF(A139="","",IF(F139=1,IF(B139="A",$B$16,$C$16),0))</ns0:f>
        <ns0:v/>
      </ns0:c>
      <ns0:c r="I139" s="27" t="str">
        <ns0:f>IF(A139="","",I138+IF(B139="A",E139-H139,0))</ns0:f>
        <ns0:v/>
      </ns0:c>
      <ns0:c r="J139" s="27" t="str">
        <ns0:f>IF(A139="","",J138+IF(B139="B",E139-H139,0))</ns0:f>
        <ns0:v/>
      </ns0:c>
      <ns0:c r="K139" s="27" t="str">
        <ns0:f>IF(A139="","",IF(F139=1,IF(B139="A",MIN($B$26,M138),MIN($C$26,L138)),0))</ns0:f>
        <ns0:v/>
      </ns0:c>
      <ns0:c r="L139" s="27" t="str">
        <ns0:f>IF(A139="","",MAX(0,L138-IF(B139="B",K139,0)))</ns0:f>
        <ns0:v/>
      </ns0:c>
      <ns0:c r="M139" s="27" t="str">
        <ns0:f>IF(A139="","",MAX(0,M138-IF(B139="A",K139,0)))</ns0:f>
        <ns0:v/>
      </ns0:c>
      <ns0:c r="N139" s="27" t="str">
        <ns0:f>IF(A139="","",N138+IF(AND(B139="A",F139=1),1,0))</ns0:f>
        <ns0:v/>
      </ns0:c>
      <ns0:c r="O139" s="27" t="str">
        <ns0:f>IF(A139="","",O138+IF(AND(B139="B",F139=1),1,0))</ns0:f>
        <ns0:v/>
      </ns0:c>
      <ns0:c r="P139" s="28" t="str">
        <ns0:f>IF(A139="","",IF(L139&lt;=0,"B Wins",IF(M139&lt;=0,"A Wins","Ongoing")))</ns0:f>
        <ns0:v/>
      </ns0:c>
    </ns0:row>
    <ns0:row r="140" ht="24" customHeight="1" s="4">
      <ns0:c r="A140" s="29" t="str">
        <ns0:f>IF(P139="Ongoing",A139+1,"")</ns0:f>
        <ns0:v/>
      </ns0:c>
      <ns0:c r="B140" s="30" t="str">
        <ns0:f>IF(A140="","",IF(MOD(A140,2)=1,$B$30,IF($B$30="A","B","A")))</ns0:f>
        <ns0:v/>
      </ns0:c>
      <ns0:c r="C140" s="29" t="str">
        <ns0:f>IF(A140="","",IF(A140&lt;=2,2,IF(A140&lt;=4,4,5)))</ns0:f>
        <ns0:v/>
      </ns0:c>
      <ns0:c r="D140" s="29" t="str">
        <ns0:f>IF(A140="","",IF(B140="A",I139,J139))</ns0:f>
        <ns0:v/>
      </ns0:c>
      <ns0:c r="E140" s="29" t="str">
        <ns0:f>IF(A140="","",IF(B140="A",$B$24,$C$24))</ns0:f>
        <ns0:v/>
      </ns0:c>
      <ns0:c r="F140" s="29" t="str">
        <ns0:f>IF(A140="","",IF(D140+E140&gt;=IF(B140="A",$B$17,$C$17),MIN(1,C140),0))</ns0:f>
        <ns0:v/>
      </ns0:c>
      <ns0:c r="G140" s="30" t="str">
        <ns0:f>IF(A140="","",IF(F140=1,"Normal Attack","Pass: insufficient AP"))</ns0:f>
        <ns0:v/>
      </ns0:c>
      <ns0:c r="H140" s="29" t="str">
        <ns0:f>IF(A140="","",IF(F140=1,IF(B140="A",$B$16,$C$16),0))</ns0:f>
        <ns0:v/>
      </ns0:c>
      <ns0:c r="I140" s="29" t="str">
        <ns0:f>IF(A140="","",I139+IF(B140="A",E140-H140,0))</ns0:f>
        <ns0:v/>
      </ns0:c>
      <ns0:c r="J140" s="29" t="str">
        <ns0:f>IF(A140="","",J139+IF(B140="B",E140-H140,0))</ns0:f>
        <ns0:v/>
      </ns0:c>
      <ns0:c r="K140" s="29" t="str">
        <ns0:f>IF(A140="","",IF(F140=1,IF(B140="A",MIN($B$26,M139),MIN($C$26,L139)),0))</ns0:f>
        <ns0:v/>
      </ns0:c>
      <ns0:c r="L140" s="29" t="str">
        <ns0:f>IF(A140="","",MAX(0,L139-IF(B140="B",K140,0)))</ns0:f>
        <ns0:v/>
      </ns0:c>
      <ns0:c r="M140" s="29" t="str">
        <ns0:f>IF(A140="","",MAX(0,M139-IF(B140="A",K140,0)))</ns0:f>
        <ns0:v/>
      </ns0:c>
      <ns0:c r="N140" s="29" t="str">
        <ns0:f>IF(A140="","",N139+IF(AND(B140="A",F140=1),1,0))</ns0:f>
        <ns0:v/>
      </ns0:c>
      <ns0:c r="O140" s="29" t="str">
        <ns0:f>IF(A140="","",O139+IF(AND(B140="B",F140=1),1,0))</ns0:f>
        <ns0:v/>
      </ns0:c>
      <ns0:c r="P140" s="30" t="str">
        <ns0:f>IF(A140="","",IF(L140&lt;=0,"B Wins",IF(M140&lt;=0,"A Wins","Ongoing")))</ns0:f>
        <ns0:v/>
      </ns0:c>
    </ns0:row>
  </ns0:sheetData>
  <ns0:autoFilter ref="A40:P140"/>
  <ns0:mergeCells count="28">
    <ns0:mergeCell ref="A5:P5"/>
    <ns0:mergeCell ref="D37:P37"/>
    <ns0:mergeCell ref="D18:P18"/>
    <ns0:mergeCell ref="D12:P12"/>
    <ns0:mergeCell ref="A4:P4"/>
    <ns0:mergeCell ref="D25:P25"/>
    <ns0:mergeCell ref="D15:P15"/>
    <ns0:mergeCell ref="D24:P24"/>
    <ns0:mergeCell ref="D14:P14"/>
    <ns0:mergeCell ref="D29:P29"/>
    <ns0:mergeCell ref="D23:P23"/>
    <ns0:mergeCell ref="D35:P35"/>
    <ns0:mergeCell ref="D26:P26"/>
    <ns0:mergeCell ref="D19:P19"/>
    <ns0:mergeCell ref="D34:P34"/>
    <ns0:mergeCell ref="D22:P22"/>
    <ns0:mergeCell ref="D31:P31"/>
    <ns0:mergeCell ref="A1:P1"/>
    <ns0:mergeCell ref="D36:P36"/>
    <ns0:mergeCell ref="D21:P21"/>
    <ns0:mergeCell ref="D11:P11"/>
    <ns0:mergeCell ref="D13:P13"/>
    <ns0:mergeCell ref="D27:P27"/>
    <ns0:mergeCell ref="D17:P17"/>
    <ns0:mergeCell ref="A3:P3"/>
    <ns0:mergeCell ref="D16:P16"/>
    <ns0:mergeCell ref="A33:P33"/>
    <ns0:mergeCell ref="A2:P2"/>
  </ns0:mergeCells>
  <ns0:conditionalFormatting sqref="L41:M140">
    <ns0:cfRule type="cellIs" priority="1" operator="equal" dxfId="0">
      <ns0:formula>0</ns0:formula>
    </ns0:cfRule>
  </ns0:conditionalFormatting>
  <ns0:dataValidations count="9">
    <ns0:dataValidation sqref="B29" showDropDown="0" showInputMessage="0" showErrorMessage="1" allowBlank="0" errorTitle="Choose A or B" error="Initiative tie winner must be A or B." type="list">
      <ns0:formula1>"A,B"</ns0:formula1>
    </ns0:dataValidation>
    <ns0:dataValidation sqref="B11:C11" showDropDown="0" showInputMessage="0" showErrorMessage="1" allowBlank="0" error="Enter a positive value." type="decimal" operator="greaterThan">
      <ns0:formula1>0</ns0:formula1>
    </ns0:dataValidation>
    <ns0:dataValidation sqref="B18:C18" showDropDown="0" showInputMessage="0" showErrorMessage="1" allowBlank="0" error="Enter a positive value." type="decimal" operator="greaterThan">
      <ns0:formula1>0</ns0:formula1>
    </ns0:dataValidation>
    <ns0:dataValidation sqref="B19:C19" showDropDown="0" showInputMessage="0" showErrorMessage="1" allowBlank="0" error="Enter a positive value." type="decimal" operator="greaterThan">
      <ns0:formula1>0</ns0:formula1>
    </ns0:dataValidation>
    <ns0:dataValidation sqref="B12:C12" showDropDown="0" showInputMessage="0" showErrorMessage="1" allowBlank="0" error="Enter a non-negative value." type="decimal" operator="greaterThanOrEqual">
      <ns0:formula1>0</ns0:formula1>
    </ns0:dataValidation>
    <ns0:dataValidation sqref="B13:C13" showDropDown="0" showInputMessage="0" showErrorMessage="1" allowBlank="0" error="Enter a non-negative value." type="decimal" operator="greaterThanOrEqual">
      <ns0:formula1>0</ns0:formula1>
    </ns0:dataValidation>
    <ns0:dataValidation sqref="B14:C14" showDropDown="0" showInputMessage="0" showErrorMessage="1" allowBlank="0" error="Enter a non-negative value." type="decimal" operator="greaterThanOrEqual">
      <ns0:formula1>0</ns0:formula1>
    </ns0:dataValidation>
    <ns0:dataValidation sqref="B16:C16" showDropDown="0" showInputMessage="0" showErrorMessage="1" allowBlank="0" error="Enter a non-negative value." type="decimal" operator="greaterThanOrEqual">
      <ns0:formula1>0</ns0:formula1>
    </ns0:dataValidation>
    <ns0:dataValidation sqref="B17:C17" showDropDown="0" showInputMessage="0" showErrorMessage="1" allowBlank="0" error="Enter a non-negative value." type="decimal" operator="greaterThanOrEqual">
      <ns0:formula1>0</ns0:formula1>
    </ns0:dataValidation>
  </ns0:dataValidations>
  <ns0:printOptions horizontalCentered="1"/>
  <ns0:pageMargins left="0.75" right="0.75" top="1" bottom="1" header="0.5" footer="0.5"/>
  <ns0:pageSetup orientation="landscape" paperSize="8" fitToHeight="0" fitToWidth="1"/>
</ns0: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2026-10-10T00:01:00Z</dcterms:created>
  <dcterms:modified xmlns:dcterms="http://purl.org/dc/terms/" xmlns:xsi="http://www.w3.org/2001/XMLSchema-instance" xsi:type="dcterms:W3CDTF">2026-10-17T08:16:15Z</dcterms:modified>
  <cp:lastModifiedBy>Admin</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D61A04A6F72B4F3E94F4E259A7C78199_12</vt:lpwstr>
  </property>
  <property name="KSOProductBuildVer" fmtid="{D5CDD505-2E9C-101B-9397-08002B2CF9AE}" pid="3">
    <vt:lpwstr xmlns:vt="http://schemas.openxmlformats.org/officeDocument/2006/docPropsVTypes">1033-12.9.0.21549</vt:lpwstr>
  </property>
</Properties>
</file>