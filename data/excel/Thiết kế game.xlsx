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activeTab="7"/>
  </bookViews>
  <sheets>
    <sheet name="Ý tưởng chung" sheetId="1" r:id="rId1"/>
    <sheet name="Giai đoạn phát triên" sheetId="2" r:id="rId2"/>
    <sheet name="Combat mechanic" sheetId="3" r:id="rId3"/>
    <sheet name="Termynology" sheetId="4" r:id="rId4"/>
    <sheet name="dummy Combat power" sheetId="10" r:id="rId5"/>
    <sheet name="Item" sheetId="9" r:id="rId6"/>
    <sheet name="Formula" sheetId="5" r:id="rId7"/>
    <sheet name="status" sheetId="7" r:id="rId8"/>
    <sheet name="Character"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<sst xmlns="http://schemas.openxmlformats.org/spreadsheetml/2006/main" count="761" uniqueCount="581">
  <si>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</si>
  <si>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</si>
  <si>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</si>
  <si>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</si>
  <si>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</si>
  <si>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</si>
  <si>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</si>
  <si>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</si>
  <si>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</si>
  <si>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</si>
  <si>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</si>
  <si>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</si>
  <si>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</si>
  <si>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</si>
  <si>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</si>
  <si>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</si>
  <si>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</si>
  <si>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</si>
  <si>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</si>
  <si>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</si>
  <si>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</si>
  <si>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</si>
  <si>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</si>
  <si>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</si>
  <si>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</si>
  <si>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r>
      <rPr>
        <b/>
        <sz val="11"/>
        <color theme="1"/>
        <rFont val="Calibri"/>
        <charset val="134"/>
        <scheme val="minor"/>
      </rPr>
      <t>Avatar War</t>
    </r>
    <r>
      <rPr>
        <sz val="11"/>
        <color theme="1"/>
        <rFont val="Calibri"/>
        <charset val="134"/>
        <scheme val="minor"/>
      </rPr>
      <t xml:space="preserve">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r>
  </si>
  <si>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</si>
  <si>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</si>
  <si>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</si>
  <si>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</si>
  <si>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</si>
  <si>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</si>
  <si>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</si>
  <si>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</si>
  <si>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</si>
  <si>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</si>
  <si>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</si>
  <si>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</si>
  <si>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</si>
  <si>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</si>
  <si>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</si>
  <si>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</si>
  <si>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</si>
  <si>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</si>
  <si>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</si>
  <si>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</si>
  <si>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</si>
  <si>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</si>
  <si>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</si>
  <si>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</si>
  <si>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</si>
  <si>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</si>
  <si>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</si>
  <si>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</si>
  <si>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</si>
  <si>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</si>
  <si>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</si>
  <si>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</si>
  <si>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</si>
  <si>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</si>
  <si>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</si>
  <si>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</si>
  <si>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</si>
  <si>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</si>
  <si>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</si>
  <si>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</si>
  <si>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</si>
  <si>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</si>
  <si>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</si>
  <si>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</si>
  <si>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</si>
  <si>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</si>
  <si>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</si>
  <si>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</si>
  <si>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</si>
  <si>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</si>
  <si>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</si>
  <si>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</si>
  <si>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</si>
  <si>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</si>
  <si>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</si>
  <si>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</si>
  <si>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</si>
  <si>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</si>
  <si>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</si>
  <si>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</si>
  <si>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</si>
  <si>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</si>
  <si>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</si>
  <si>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</si>
  <si>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</si>
  <si>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</si>
  <si>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</si>
  <si>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</si>
  <si>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</si>
  <si>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</si>
  <si>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</si>
  <si>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</si>
  <si>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</si>
  <si>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</si>
  <si>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</si>
  <si>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</si>
  <si>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</si>
  <si>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</si>
  <si>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</si>
  <si>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</si>
  <si>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</si>
  <si>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</si>
  <si>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</si>
  <si>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</si>
  <si>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</si>
  <si>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</si>
  <si>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</si>
  <si>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</si>
  <si>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</si>
  <si>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</si>
  <si>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</si>
  <si>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</si>
  <si>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</si>
  <si>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</si>
  <si>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</si>
  <si>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</si>
  <si>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</si>
  <si>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</si>
  <si>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</si>
  <si>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</si>
  <si>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</si>
  <si>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</si>
  <si>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</si>
  <si>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</si>
  <si>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</si>
  <si>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</si>
  <si>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</si>
  <si>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</si>
  <si>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</si>
  <si>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</si>
  <si>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</si>
  <si>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</si>
  <si>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</si>
  <si>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</si>
  <si>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</si>
  <si>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</si>
  <si>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</si>
  <si>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</si>
  <si>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</si>
  <si>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</si>
  <si>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</si>
  <si>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</si>
  <si>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</si>
  <si>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</si>
  <si>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</si>
  <si>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</si>
  <si>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</si>
  <si>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</si>
  <si>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</si>
  <si>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</si>
  <si>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</si>
  <si>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</si>
  <si>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</si>
  <si>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</si>
  <si>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</si>
  <si>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</si>
  <si>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</si>
  <si>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</si>
  <si>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</si>
  <si>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</si>
  <si>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</si>
  <si>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</si>
  <si>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</si>
  <si>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</si>
  <si>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</si>
  <si>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</si>
  <si>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</si>
  <si>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</si>
  <si>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</si>
  <si>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</si>
  <si>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</si>
  <si>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</si>
  <si>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</si>
  <si>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</si>
  <si>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</si>
  <si>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</si>
  <si>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</si>
  <si>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</si>
  <si>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</si>
  <si>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</si>
  <si>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</si>
  <si>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</si>
  <si>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</si>
  <si>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</si>
  <si>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</si>
  <si>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</si>
  <si>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</si>
  <si>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</si>
  <si>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</si>
  <si>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</si>
  <si>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</si>
  <si>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</si>
  <si>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</si>
  <si>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</si>
  <si>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</si>
  <si>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</si>
  <si>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</si>
  <si>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</si>
  <si>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</si>
  <si>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</si>
  <si>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</si>
  <si>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</si>
  <si>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</si>
  <si>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</si>
  <si>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</si>
  <si>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</si>
  <si>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</si>
  <si>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</si>
  <si>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</si>
  <si>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</si>
  <si>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</si>
  <si>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</si>
  <si>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</si>
  <si>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</si>
  <si>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</si>
  <si>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</si>
  <si>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</si>
  <si>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</si>
  <si>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</si>
  <si>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</si>
  <si>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</si>
  <si>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</si>
  <si>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</si>
  <si>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</si>
  <si>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</si>
  <si>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</si>
  <si>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</si>
  <si>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</si>
  <si>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</si>
  <si>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</si>
  <si>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</si>
  <si>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</si>
  <si>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</si>
  <si>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</si>
  <si>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</si>
  <si>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</si>
  <si>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</si>
  <si>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</si>
  <si>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</si>
  <si>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</si>
  <si>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</si>
  <si>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</si>
  <si>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</si>
  <si>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</si>
  <si>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</si>
  <si>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</si>
  <si>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</si>
  <si>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</si>
  <si>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</si>
  <si>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</si>
  <si>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</si>
  <si>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</si>
  <si>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</si>
  <si>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</si>
  <si>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</si>
  <si>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</si>
  <si>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</si>
  <si>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</si>
  <si>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</si>
  <si>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</si>
  <si>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</si>
  <si>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</si>
  <si>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</si>
  <si>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</si>
  <si>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</si>
  <si>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</si>
  <si>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</si>
  <si>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</si>
  <si>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</si>
  <si>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</si>
  <si>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</si>
  <si>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</si>
  <si>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</si>
  <si>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</si>
  <si>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</si>
  <si>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</si>
  <si>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</si>
  <si>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</si>
  <si>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</si>
  <si>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</si>
  <si>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</si>
  <si>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</si>
  <si>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</si>
  <si>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</si>
  <si>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</si>
  <si>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</si>
  <si>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</si>
  <si>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</si>
  <si>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</si>
  <si>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</si>
  <si>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</si>
  <si>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</si>
  <si>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</si>
  <si>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</si>
  <si>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</si>
  <si>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</si>
  <si>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</si>
  <si>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</si>
  <si>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</si>
  <si>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</si>
  <si>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</si>
  <si>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</si>
  <si>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</si>
  <si>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</si>
  <si>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</si>
  <si>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</si>
  <si>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</si>
  <si>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</si>
  <si>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</si>
  <si>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</si>
  <si>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</si>
  <si>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</si>
  <si>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</si>
  <si>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</si>
  <si>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</si>
  <si>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</si>
  <si>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</si>
  <si>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</si>
  <si>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</si>
  <si>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</si>
  <si>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</si>
  <si>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</si>
  <si>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</si>
  <si>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</si>
  <si>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</si>
  <si>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</si>
  <si>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</si>
  <si>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</si>
  <si>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</si>
  <si>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</si>
  <si>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</si>
  <si>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</si>
  <si>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</si>
  <si>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</si>
  <si>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</si>
  <si>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</si>
  <si>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</si>
  <si>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</si>
  <si>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</si>
  <si>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</si>
  <si>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</si>
  <si>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</si>
  <si>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</si>
  <si>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</si>
  <si>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</si>
  <si>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</si>
  <si>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</si>
  <si>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</si>
  <si>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</si>
  <si>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</si>
  <si>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</si>
  <si>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</si>
  <si>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</si>
  <si>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</si>
  <si>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</si>
  <si>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</si>
  <si>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</si>
  <si>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</si>
  <si>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</si>
  <si>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</si>
  <si>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</si>
  <si>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</si>
  <si>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</si>
  <si>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</si>
  <si>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</si>
  <si>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</si>
  <si>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</si>
  <si>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</si>
  <si>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</si>
  <si>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</si>
  <si>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</si>
  <si>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</si>
  <si>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</si>
  <si>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</si>
  <si>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</si>
  <si>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</si>
  <si>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</si>
  <si>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</si>
  <si>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</si>
  <si>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</si>
  <si>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</si>
  <si>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</si>
  <si>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</si>
  <si>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</si>
  <si>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</si>
  <si>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</si>
  <si>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</si>
  <si>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r>
      <t>1 HP = 1 CP.</t>
    </r>
    <r>
      <rPr>
        <sz val="11"/>
        <color theme="1"/>
        <rFont val="Calibri"/>
        <charset val="134"/>
        <scheme val="minor"/>
      </rPr>
      <t xml:space="preserve"> MP uses the same CP value as HP.</t>
    </r>
  </si>
  <si>
    <r>
      <t xml:space="preserve">HP: </t>
    </r>
    <r>
      <rPr>
        <b/>
        <sz val="11"/>
        <color theme="1"/>
        <rFont val="Calibri"/>
        <charset val="134"/>
        <scheme val="minor"/>
      </rPr>
      <t>40,000</t>
    </r>
    <r>
      <rPr>
        <sz val="11"/>
        <color theme="1"/>
        <rFont val="Calibri"/>
        <charset val="134"/>
        <scheme val="minor"/>
      </rPr>
      <t>.</t>
    </r>
  </si>
  <si>
    <r>
      <t xml:space="preserve">Attack: </t>
    </r>
    <r>
      <rPr>
        <b/>
        <sz val="11"/>
        <color theme="1"/>
        <rFont val="Calibri"/>
        <charset val="134"/>
        <scheme val="minor"/>
      </rPr>
      <t>2,000</t>
    </r>
    <r>
      <rPr>
        <sz val="11"/>
        <color theme="1"/>
        <rFont val="Calibri"/>
        <charset val="134"/>
        <scheme val="minor"/>
      </rPr>
      <t>.</t>
    </r>
  </si>
  <si>
    <r>
      <t xml:space="preserve">Defense and Skill Defense: </t>
    </r>
    <r>
      <rPr>
        <b/>
        <sz val="11"/>
        <color theme="1"/>
        <rFont val="Calibri"/>
        <charset val="134"/>
        <scheme val="minor"/>
      </rPr>
      <t>1,000</t>
    </r>
    <r>
      <rPr>
        <sz val="11"/>
        <color theme="1"/>
        <rFont val="Calibri"/>
        <charset val="134"/>
        <scheme val="minor"/>
      </rPr>
      <t xml:space="preserve"> each.</t>
    </r>
  </si>
  <si>
    <r>
      <t xml:space="preserve">Power Constant, K: </t>
    </r>
    <r>
      <rPr>
        <b/>
        <sz val="11"/>
        <color theme="1"/>
        <rFont val="Calibri"/>
        <charset val="134"/>
        <scheme val="minor"/>
      </rPr>
      <t>1,000</t>
    </r>
    <r>
      <rPr>
        <sz val="11"/>
        <color theme="1"/>
        <rFont val="Calibri"/>
        <charset val="134"/>
        <scheme val="minor"/>
      </rPr>
      <t>.</t>
    </r>
  </si>
  <si>
    <r>
      <t xml:space="preserve">Skill Attack: </t>
    </r>
    <r>
      <rPr>
        <b/>
        <sz val="11"/>
        <color theme="1"/>
        <rFont val="Calibri"/>
        <charset val="134"/>
        <scheme val="minor"/>
      </rPr>
      <t>4,800</t>
    </r>
    <r>
      <rPr>
        <sz val="11"/>
        <color theme="1"/>
        <rFont val="Calibri"/>
        <charset val="134"/>
        <scheme val="minor"/>
      </rPr>
      <t>.</t>
    </r>
  </si>
  <si>
    <r>
      <t xml:space="preserve">Reference rotation: </t>
    </r>
    <r>
      <rPr>
        <b/>
        <sz val="11"/>
        <color theme="1"/>
        <rFont val="Calibri"/>
        <charset val="134"/>
        <scheme val="minor"/>
      </rPr>
      <t>one normal attack followed by one skill</t>
    </r>
    <r>
      <rPr>
        <sz val="11"/>
        <color theme="1"/>
        <rFont val="Calibri"/>
        <charset val="134"/>
        <scheme val="minor"/>
      </rPr>
      <t>.</t>
    </r>
  </si>
  <si>
    <r>
      <t xml:space="preserve">Accuracy: </t>
    </r>
    <r>
      <rPr>
        <b/>
        <sz val="11"/>
        <color theme="1"/>
        <rFont val="Calibri"/>
        <charset val="134"/>
        <scheme val="minor"/>
      </rPr>
      <t>100%</t>
    </r>
    <r>
      <rPr>
        <sz val="11"/>
        <color theme="1"/>
        <rFont val="Calibri"/>
        <charset val="134"/>
        <scheme val="minor"/>
      </rPr>
      <t xml:space="preserve">; Evasion: </t>
    </r>
    <r>
      <rPr>
        <b/>
        <sz val="11"/>
        <color theme="1"/>
        <rFont val="Calibri"/>
        <charset val="134"/>
        <scheme val="minor"/>
      </rPr>
      <t>0%</t>
    </r>
    <r>
      <rPr>
        <sz val="11"/>
        <color theme="1"/>
        <rFont val="Calibri"/>
        <charset val="134"/>
        <scheme val="minor"/>
      </rPr>
      <t>.</t>
    </r>
  </si>
  <si>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</si>
  <si>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</si>
  <si>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</si>
  <si>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</si>
  <si>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</si>
  <si>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</si>
  <si>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</si>
  <si>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</si>
  <si>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</si>
  <si>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</si>
  <si>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</si>
  <si>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</si>
  <si>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</si>
  <si>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</si>
  <si>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</si>
  <si>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</si>
  <si>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</si>
  <si>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</si>
  <si>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</si>
  <si>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</si>
  <si>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</si>
  <si>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</si>
  <si>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</si>
  <si>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</si>
  <si>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r>
      <t xml:space="preserve">Since </t>
    </r>
    <r>
      <rPr>
        <b/>
        <sz val="11"/>
        <color theme="1"/>
        <rFont val="Calibri"/>
        <charset val="134"/>
        <scheme val="minor"/>
      </rPr>
      <t>1 HP = 1 CP</t>
    </r>
    <r>
      <rPr>
        <sz val="11"/>
        <color theme="1"/>
        <rFont val="Calibri"/>
        <charset val="134"/>
        <scheme val="minor"/>
      </rPr>
      <t>, Equivalent HP equals CP Gain.</t>
    </r>
  </si>
  <si>
    <r>
      <t xml:space="preserve">For percentage stats, each pricing unit means </t>
    </r>
    <r>
      <rPr>
        <b/>
        <sz val="11"/>
        <color theme="1"/>
        <rFont val="Calibri"/>
        <charset val="134"/>
        <scheme val="minor"/>
      </rPr>
      <t>one percentage point</t>
    </r>
    <r>
      <rPr>
        <sz val="11"/>
        <color theme="1"/>
        <rFont val="Calibri"/>
        <charset val="134"/>
        <scheme val="minor"/>
      </rPr>
      <t>, such as an increase from 20% to 21%.</t>
    </r>
  </si>
  <si>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</si>
  <si>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</si>
  <si>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</si>
  <si>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</si>
  <si>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</si>
  <si>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</si>
  <si>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</si>
  <si>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</si>
  <si>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</si>
  <si>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</si>
  <si>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</si>
  <si>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</si>
  <si>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</si>
  <si>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</si>
  <si>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</si>
  <si>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</si>
  <si>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</si>
  <si>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</si>
  <si>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</si>
  <si>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</si>
  <si>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</si>
  <si>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</si>
  <si>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</si>
  <si>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</si>
  <si>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</si>
  <si>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</si>
  <si>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</si>
  <si>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</si>
  <si>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</si>
  <si>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</si>
  <si>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</si>
  <si>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</si>
  <si>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</si>
  <si>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</si>
  <si>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</si>
  <si>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</si>
  <si>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</si>
  <si>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</si>
  <si>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</si>
  <si>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</si>
  <si>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</si>
  <si>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r>
      <t xml:space="preserve">The value uses a hypothetical healing reference because the benchmark duel contains no healing. Default Healing Amplification is </t>
    </r>
    <r>
      <rPr>
        <b/>
        <sz val="11"/>
        <color theme="1"/>
        <rFont val="Calibri"/>
        <charset val="134"/>
        <scheme val="minor"/>
      </rPr>
      <t>0%</t>
    </r>
    <r>
      <rPr>
        <sz val="11"/>
        <color theme="1"/>
        <rFont val="Calibri"/>
        <charset val="134"/>
        <scheme val="minor"/>
      </rPr>
      <t>, meaning no additional healing received.</t>
    </r>
  </si>
  <si>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</si>
  <si>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</si>
  <si>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</si>
  <si>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</si>
  <si>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</si>
  <si>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</si>
  <si>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</si>
  <si>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</si>
  <si>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</si>
  <si>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</si>
  <si>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Item</t>
  </si>
  <si>
    <t>Attack Target</t>
  </si>
  <si>
    <t>Area of attack</t>
  </si>
  <si>
    <t>Item reduced Attack for sub target</t>
  </si>
  <si>
    <t>K relative</t>
  </si>
  <si>
    <t>CP per Stat Point</t>
  </si>
  <si>
    <t>CP</t>
  </si>
  <si>
    <t>Warrior weapon</t>
  </si>
  <si>
    <t>Front</t>
  </si>
  <si>
    <t>Single</t>
  </si>
  <si>
    <t>Base Attack</t>
  </si>
  <si>
    <t>Skill point</t>
  </si>
  <si>
    <t>Base AP recovery</t>
  </si>
  <si>
    <t>Destroyer weapon</t>
  </si>
  <si>
    <t>Row adjection</t>
  </si>
  <si>
    <t>Soldier weapon</t>
  </si>
  <si>
    <t>Line adjection</t>
  </si>
  <si>
    <t>Base critical hit chance</t>
  </si>
  <si>
    <t xml:space="preserve">Base AP recovery </t>
  </si>
  <si>
    <t>Ranger weapon</t>
  </si>
  <si>
    <t>Any</t>
  </si>
  <si>
    <t>Base Multi hit rate</t>
  </si>
  <si>
    <t>Penetrator weapon</t>
  </si>
  <si>
    <t>Full line</t>
  </si>
  <si>
    <t>Subtarget 1: -50%. Sub target 2: -75%</t>
  </si>
  <si>
    <t>Base Penetration chance</t>
  </si>
  <si>
    <t>Devastator weapon</t>
  </si>
  <si>
    <t>Cross</t>
  </si>
  <si>
    <t>Base Stun Count</t>
  </si>
  <si>
    <t>Caster weapon</t>
  </si>
  <si>
    <t>Body armour</t>
  </si>
  <si>
    <t>Base Defense</t>
  </si>
  <si>
    <t>Base HP</t>
  </si>
  <si>
    <t>Accessory</t>
  </si>
  <si>
    <t>Base MP</t>
  </si>
  <si>
    <t>Rune Enhancement</t>
  </si>
  <si>
    <t>Base Skill Defense</t>
  </si>
  <si>
    <t>Shield</t>
  </si>
  <si>
    <t>Focus</t>
  </si>
  <si>
    <t>Ammunition</t>
  </si>
  <si>
    <t>Base Critical damage bonus</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</si>
  <si>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</si>
  <si>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r>
      <t xml:space="preserve">Attack Target determines which enemies may be selected as the primary target: </t>
    </r>
    <r>
      <rPr>
        <b/>
        <sz val="11"/>
        <color theme="1"/>
        <rFont val="Calibri"/>
        <charset val="134"/>
        <scheme val="minor"/>
      </rPr>
      <t>Front</t>
    </r>
    <r>
      <rPr>
        <sz val="11"/>
        <color theme="1"/>
        <rFont val="Calibri"/>
        <charset val="134"/>
        <scheme val="minor"/>
      </rPr>
      <t xml:space="preserve"> allows only the frontmost living enemy in each column, while </t>
    </r>
    <r>
      <rPr>
        <b/>
        <sz val="11"/>
        <color theme="1"/>
        <rFont val="Calibri"/>
        <charset val="134"/>
        <scheme val="minor"/>
      </rPr>
      <t>Any</t>
    </r>
    <r>
      <rPr>
        <sz val="11"/>
        <color theme="1"/>
        <rFont val="Calibri"/>
        <charset val="134"/>
        <scheme val="minor"/>
      </rPr>
      <t xml:space="preserve"> allows any living enemy, including protected enemies and the main character. </t>
    </r>
  </si>
  <si>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</si>
  <si>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</si>
  <si>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</si>
  <si>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</si>
  <si>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</si>
  <si>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Status</t>
  </si>
  <si>
    <t>Default Duration</t>
  </si>
  <si>
    <t>Effect</t>
  </si>
  <si>
    <t>Rage</t>
  </si>
  <si>
    <t>Increases Attack.</t>
  </si>
  <si>
    <t>Calm</t>
  </si>
  <si>
    <t>Increases Skill Attack.</t>
  </si>
  <si>
    <t>Fortify</t>
  </si>
  <si>
    <t>Increases Defense.</t>
  </si>
  <si>
    <t>Resistance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</si>
  <si>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</si>
  <si>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</si>
  <si>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</si>
  <si>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</si>
  <si>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</si>
  <si>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</si>
  <si>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</si>
  <si>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</si>
  <si>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</si>
  <si>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</si>
  <si>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</si>
  <si>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</si>
  <si>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</si>
  <si>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</si>
  <si>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</si>
  <si>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</si>
  <si>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</si>
  <si>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</si>
  <si>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</si>
  <si>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</si>
  <si>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</si>
  <si>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start of each global turn.</t>
  </si>
  <si>
    <t>Prevents receiving action slots and performing voluntary actions, including attacks, defending, swaps, and active skills. Sets Character Base AP Recovery to 0. Passive skills remain usable.</t>
  </si>
  <si>
    <t>Stun Count</t>
  </si>
  <si>
    <t>Has no direct effect.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</si>
  <si>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</si>
  <si>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</si>
  <si>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</si>
  <si>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</si>
  <si>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Reduces AP Recovery and Multi-Hit Rate.</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</si>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</sst>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s>
  <fonts count="23">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5"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6" applyNumberFormat="0" applyFill="0" applyAlignment="0" applyProtection="0">
      <alignment vertical="center"/>
    </xf>
    <xf numFmtId="0" fontId="10" fillId="0" borderId="6" applyNumberFormat="0" applyFill="0" applyAlignment="0" applyProtection="0">
      <alignment vertical="center"/>
    </xf>
    <xf numFmtId="0" fontId="11" fillId="0" borderId="7" applyNumberFormat="0" applyFill="0" applyAlignment="0" applyProtection="0">
      <alignment vertical="center"/>
    </xf>
    <xf numFmtId="0" fontId="11" fillId="0" borderId="0" applyNumberFormat="0" applyFill="0" applyBorder="0" applyAlignment="0" applyProtection="0">
      <alignment vertical="center"/>
    </xf>
    <xf numFmtId="0" fontId="12" fillId="3" borderId="8" applyNumberFormat="0" applyAlignment="0" applyProtection="0">
      <alignment vertical="center"/>
    </xf>
    <xf numFmtId="0" fontId="13" fillId="4" borderId="9" applyNumberFormat="0" applyAlignment="0" applyProtection="0">
      <alignment vertical="center"/>
    </xf>
    <xf numFmtId="0" fontId="14" fillId="4" borderId="8" applyNumberFormat="0" applyAlignment="0" applyProtection="0">
      <alignment vertical="center"/>
    </xf>
    <xf numFmtId="0" fontId="15" fillId="5" borderId="10" applyNumberFormat="0" applyAlignment="0" applyProtection="0">
      <alignment vertical="center"/>
    </xf>
    <xf numFmtId="0" fontId="16" fillId="0" borderId="11" applyNumberFormat="0" applyFill="0" applyAlignment="0" applyProtection="0">
      <alignment vertical="center"/>
    </xf>
    <xf numFmtId="0" fontId="17" fillId="0" borderId="12"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51">
    <xf numFmtId="0" fontId="0" fillId="0" borderId="0" xfId="0"/>
    <xf numFmtId="0" fontId="1" fillId="0" borderId="0" xfId="0" applyFont="1" applyAlignment="1">
      <alignment horizontal="center"/>
    </xf>
    <xf numFmtId="0" fontId="0" fillId="0" borderId="0" xfId="0" applyAlignment="1"/>
    <xf numFmtId="0" fontId="1" fillId="0" borderId="0" xfId="0" applyFont="1"/>
    <xf numFmtId="0" fontId="0"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horizontal="lef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9" fontId="0" fillId="0" borderId="1" xfId="3" applyNumberFormat="1" applyBorder="1" applyAlignment="1">
      <alignment horizontal="center"/>
    </xf>
    <xf numFmtId="9" fontId="0" fillId="0" borderId="1" xfId="3" applyBorder="1" applyAlignment="1"/>
    <xf numFmtId="9" fontId="0" fillId="0" borderId="1" xfId="3" applyNumberFormat="1" applyBorder="1" applyAlignment="1"/>
    <xf numFmtId="178" fontId="0" fillId="0" borderId="1" xfId="1" applyNumberFormat="1" applyFont="1" applyBorder="1" applyAlignment="1">
      <alignment horizontal="left" vertical="center"/>
    </xf>
    <xf numFmtId="0" fontId="0" fillId="0" borderId="2" xfId="0" applyFont="1" applyBorder="1" applyAlignment="1">
      <alignment horizontal="center"/>
    </xf>
    <xf numFmtId="9" fontId="0" fillId="0" borderId="1" xfId="3" applyFont="1" applyBorder="1" applyAlignment="1">
      <alignment horizontal="center"/>
    </xf>
    <xf numFmtId="178" fontId="0" fillId="0" borderId="1" xfId="1" applyNumberFormat="1" applyFont="1" applyBorder="1" applyAlignment="1"/>
    <xf numFmtId="0" fontId="0" fillId="0" borderId="1" xfId="0" applyBorder="1"/>
    <xf numFmtId="0" fontId="0" fillId="0" borderId="3" xfId="0" applyFont="1" applyBorder="1" applyAlignment="1">
      <alignment horizontal="center"/>
    </xf>
    <xf numFmtId="0" fontId="0" fillId="0" borderId="4" xfId="0" applyFont="1" applyBorder="1" applyAlignment="1">
      <alignment horizontal="center"/>
    </xf>
    <xf numFmtId="178" fontId="0" fillId="0" borderId="1" xfId="1" applyNumberFormat="1" applyBorder="1" applyAlignment="1">
      <alignment horizontal="right"/>
    </xf>
    <xf numFmtId="9" fontId="0" fillId="0" borderId="1" xfId="3" applyNumberFormat="1" applyBorder="1" applyAlignment="1">
      <alignment horizontal="right"/>
    </xf>
    <xf numFmtId="0" fontId="1" fillId="0" borderId="0" xfId="0" applyFont="1" applyAlignment="1">
      <alignment horizontal="left"/>
    </xf>
    <xf numFmtId="178" fontId="1" fillId="0" borderId="0" xfId="1" applyNumberFormat="1" applyFont="1" applyAlignment="1">
      <alignment horizontal="left"/>
    </xf>
    <xf numFmtId="178" fontId="0" fillId="0" borderId="0" xfId="0" applyNumberFormat="1" applyFont="1"/>
    <xf numFmtId="178" fontId="0" fillId="0" borderId="0" xfId="1" applyNumberFormat="1" applyFont="1" applyAlignment="1"/>
    <xf numFmtId="178" fontId="0" fillId="0" borderId="0" xfId="0" applyNumberFormat="1"/>
    <xf numFmtId="9" fontId="0" fillId="0" borderId="0" xfId="3" applyNumberFormat="1" applyAlignment="1"/>
    <xf numFmtId="9" fontId="0" fillId="0" borderId="0" xfId="3" applyFont="1"/>
    <xf numFmtId="178" fontId="1" fillId="0" borderId="0" xfId="0" applyNumberFormat="1" applyFont="1"/>
    <xf numFmtId="0" fontId="2" fillId="0" borderId="0" xfId="0" applyFont="1" applyAlignment="1"/>
    <xf numFmtId="0" fontId="0" fillId="0" borderId="0" xfId="0" applyAlignment="1"/>
    <xf numFmtId="0" fontId="3" fillId="0" borderId="0" xfId="0" applyFont="1" applyAlignment="1"/>
    <xf numFmtId="0" fontId="1" fillId="0" borderId="0" xfId="0" applyFont="1" applyAlignment="1">
      <alignment horizontal="left" indent="1"/>
    </xf>
    <xf numFmtId="0" fontId="0" fillId="0" borderId="0" xfId="0" applyAlignment="1">
      <alignment horizontal="left" indent="1"/>
    </xf>
    <xf numFmtId="0" fontId="1" fillId="0" borderId="0" xfId="0" applyFont="1" applyAlignment="1"/>
    <xf numFmtId="0" fontId="1" fillId="0" borderId="0" xfId="0" applyFont="1" applyAlignment="1">
      <alignment horizontal="center"/>
    </xf>
    <xf numFmtId="0" fontId="3" fillId="0" borderId="0" xfId="0" applyFont="1"/>
    <xf numFmtId="0" fontId="1" fillId="0" borderId="0" xfId="0" applyFont="1"/>
    <xf numFmtId="0" fontId="0" fillId="0" borderId="0" xfId="0" applyAlignment="1">
      <alignment horizontal="left" indent="1"/>
    </xf>
    <xf numFmtId="0" fontId="1" fillId="0" borderId="0" xfId="0" applyFont="1" applyAlignment="1">
      <alignment horizontal="center" wrapText="1"/>
    </xf>
    <xf numFmtId="0" fontId="0" fillId="0" borderId="1" xfId="0" applyBorder="1"/>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customStorage" Target="customStorage/customStorage.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B9" sqref="B9"/>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39" sqref="A39"/>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topLeftCell="A42" workbookViewId="0">
      <selection activeCell="A3" sqref="A3:C21"/>
    </sheetView>
  </sheetViews>
  <sheetFormatPr defaultColWidth="9.14285714285714" defaultRowHeight="15" outlineLevelCol="2"/>
  <cols>
    <col min="1" max="1" width="29.2857142857143" customWidth="1"/>
    <col min="2" max="2" width="30.5714285714286" customWidth="1"/>
    <col min="3" max="3" width="161.714285714286" customWidth="1"/>
  </cols>
  <sheetData>
    <row r="1" ht="61" customHeight="1" spans="1:3">
      <c r="A1" s="48" t="s">
        <v>25</v>
      </c>
      <c r="B1" s="48"/>
      <c r="C1" s="48"/>
    </row>
    <row r="3" spans="1:3">
      <c r="A3" s="49" t="s">
        <v>26</v>
      </c>
      <c r="B3" s="49" t="s">
        <v>27</v>
      </c>
      <c r="C3" s="49" t="s">
        <v>28</v>
      </c>
    </row>
    <row r="4" spans="1:3">
      <c r="A4" s="49" t="s">
        <v>29</v>
      </c>
      <c r="B4" s="49" t="s">
        <v>30</v>
      </c>
      <c r="C4" s="49" t="s">
        <v>31</v>
      </c>
    </row>
    <row r="5" spans="1:3">
      <c r="A5" s="49" t="s">
        <v>29</v>
      </c>
      <c r="B5" s="49" t="s">
        <v>32</v>
      </c>
      <c r="C5" s="49" t="s">
        <v>33</v>
      </c>
    </row>
    <row r="6" spans="1:3">
      <c r="A6" s="49" t="s">
        <v>29</v>
      </c>
      <c r="B6" s="49" t="s">
        <v>34</v>
      </c>
      <c r="C6" s="49" t="s">
        <v>35</v>
      </c>
    </row>
    <row r="7" spans="1:3">
      <c r="A7" s="49" t="s">
        <v>36</v>
      </c>
      <c r="B7" s="49" t="s">
        <v>37</v>
      </c>
      <c r="C7" s="49" t="s">
        <v>38</v>
      </c>
    </row>
    <row r="8" spans="1:3">
      <c r="A8" s="49" t="s">
        <v>36</v>
      </c>
      <c r="B8" s="49" t="s">
        <v>39</v>
      </c>
      <c r="C8" s="49" t="s">
        <v>40</v>
      </c>
    </row>
    <row r="9" spans="1:3">
      <c r="A9" s="49" t="s">
        <v>41</v>
      </c>
      <c r="B9" s="49" t="s">
        <v>42</v>
      </c>
      <c r="C9" s="49" t="s">
        <v>43</v>
      </c>
    </row>
    <row r="10" spans="1:3">
      <c r="A10" s="49" t="s">
        <v>41</v>
      </c>
      <c r="B10" s="49" t="s">
        <v>44</v>
      </c>
      <c r="C10" s="49" t="s">
        <v>45</v>
      </c>
    </row>
    <row r="11" spans="1:3">
      <c r="A11" s="49" t="s">
        <v>41</v>
      </c>
      <c r="B11" s="49" t="s">
        <v>46</v>
      </c>
      <c r="C11" s="49" t="s">
        <v>47</v>
      </c>
    </row>
    <row r="12" spans="1:3">
      <c r="A12" s="49" t="s">
        <v>41</v>
      </c>
      <c r="B12" s="49" t="s">
        <v>48</v>
      </c>
      <c r="C12" s="49" t="s">
        <v>49</v>
      </c>
    </row>
    <row r="13" spans="1:3">
      <c r="A13" s="49" t="s">
        <v>41</v>
      </c>
      <c r="B13" s="49" t="s">
        <v>50</v>
      </c>
      <c r="C13" s="49" t="s">
        <v>51</v>
      </c>
    </row>
    <row r="14" spans="1:3">
      <c r="A14" s="49" t="s">
        <v>41</v>
      </c>
      <c r="B14" s="49" t="s">
        <v>52</v>
      </c>
      <c r="C14" s="49" t="s">
        <v>53</v>
      </c>
    </row>
    <row r="15" spans="1:3">
      <c r="A15" s="49" t="s">
        <v>54</v>
      </c>
      <c r="B15" s="49" t="s">
        <v>55</v>
      </c>
      <c r="C15" s="49" t="s">
        <v>56</v>
      </c>
    </row>
    <row r="16" spans="1:3">
      <c r="A16" s="49" t="s">
        <v>54</v>
      </c>
      <c r="B16" s="49" t="s">
        <v>57</v>
      </c>
      <c r="C16" s="49" t="s">
        <v>58</v>
      </c>
    </row>
    <row r="17" spans="1:3">
      <c r="A17" s="49" t="s">
        <v>54</v>
      </c>
      <c r="B17" s="49" t="s">
        <v>59</v>
      </c>
      <c r="C17" s="49" t="s">
        <v>60</v>
      </c>
    </row>
    <row r="18" spans="1:3">
      <c r="A18" s="49" t="s">
        <v>61</v>
      </c>
      <c r="B18" s="49" t="s">
        <v>62</v>
      </c>
      <c r="C18" s="49" t="s">
        <v>63</v>
      </c>
    </row>
    <row r="19" spans="1:3">
      <c r="A19" s="49" t="s">
        <v>61</v>
      </c>
      <c r="B19" s="49" t="s">
        <v>64</v>
      </c>
      <c r="C19" s="49" t="s">
        <v>65</v>
      </c>
    </row>
    <row r="20" spans="1:3">
      <c r="A20" s="49" t="s">
        <v>61</v>
      </c>
      <c r="B20" s="49" t="s">
        <v>66</v>
      </c>
      <c r="C20" s="49" t="s">
        <v>67</v>
      </c>
    </row>
    <row r="21" spans="1:3">
      <c r="A21" s="49" t="s">
        <v>61</v>
      </c>
      <c r="B21" s="49" t="s">
        <v>68</v>
      </c>
      <c r="C21" s="49" t="s">
        <v>69</v>
      </c>
    </row>
    <row r="22" spans="1:3">
      <c r="A22" s="49" t="s">
        <v>61</v>
      </c>
      <c r="B22" s="49" t="s">
        <v>70</v>
      </c>
      <c r="C22" s="49" t="s">
        <v>71</v>
      </c>
    </row>
    <row r="23" spans="1:3">
      <c r="A23" s="49" t="s">
        <v>61</v>
      </c>
      <c r="B23" s="49" t="s">
        <v>72</v>
      </c>
      <c r="C23" t="s">
        <v>73</v>
      </c>
    </row>
    <row r="24" spans="1:3">
      <c r="A24" s="49" t="s">
        <v>61</v>
      </c>
      <c r="B24" s="49" t="s">
        <v>74</v>
      </c>
      <c r="C24" s="49" t="s">
        <v>75</v>
      </c>
    </row>
    <row r="25" spans="1:3">
      <c r="A25" s="49" t="s">
        <v>76</v>
      </c>
      <c r="B25" s="49" t="s">
        <v>77</v>
      </c>
      <c r="C25" s="49" t="s">
        <v>78</v>
      </c>
    </row>
    <row r="26" spans="1:3">
      <c r="A26" s="49" t="s">
        <v>76</v>
      </c>
      <c r="B26" s="49" t="s">
        <v>79</v>
      </c>
      <c r="C26" s="49" t="s">
        <v>80</v>
      </c>
    </row>
    <row r="27" spans="1:3">
      <c r="A27" s="49" t="s">
        <v>81</v>
      </c>
      <c r="B27" s="49" t="s">
        <v>82</v>
      </c>
      <c r="C27" s="49" t="s">
        <v>83</v>
      </c>
    </row>
    <row r="28" spans="1:3">
      <c r="A28" s="49" t="s">
        <v>81</v>
      </c>
      <c r="B28" s="49" t="s">
        <v>84</v>
      </c>
      <c r="C28" s="49" t="s">
        <v>85</v>
      </c>
    </row>
    <row r="29" spans="1:3">
      <c r="A29" s="49" t="s">
        <v>86</v>
      </c>
      <c r="B29" s="49" t="s">
        <v>82</v>
      </c>
      <c r="C29" s="49" t="s">
        <v>87</v>
      </c>
    </row>
    <row r="30" spans="1:3">
      <c r="A30" s="49" t="s">
        <v>86</v>
      </c>
      <c r="B30" s="49" t="s">
        <v>84</v>
      </c>
      <c r="C30" s="49" t="s">
        <v>88</v>
      </c>
    </row>
    <row r="31" spans="1:3">
      <c r="A31" s="49" t="s">
        <v>89</v>
      </c>
      <c r="B31" s="49" t="s">
        <v>82</v>
      </c>
      <c r="C31" s="49" t="s">
        <v>90</v>
      </c>
    </row>
    <row r="32" spans="1:3">
      <c r="A32" s="49" t="s">
        <v>89</v>
      </c>
      <c r="B32" s="49" t="s">
        <v>91</v>
      </c>
      <c r="C32" s="49" t="s">
        <v>92</v>
      </c>
    </row>
    <row r="33" spans="1:3">
      <c r="A33" s="49" t="s">
        <v>89</v>
      </c>
      <c r="B33" s="49" t="s">
        <v>93</v>
      </c>
      <c r="C33" s="49" t="s">
        <v>94</v>
      </c>
    </row>
    <row r="34" spans="1:3">
      <c r="A34" s="49" t="s">
        <v>89</v>
      </c>
      <c r="B34" s="49" t="s">
        <v>95</v>
      </c>
      <c r="C34" s="49" t="s">
        <v>96</v>
      </c>
    </row>
    <row r="35" spans="1:3">
      <c r="A35" s="49" t="s">
        <v>89</v>
      </c>
      <c r="B35" s="49" t="s">
        <v>97</v>
      </c>
      <c r="C35" s="49" t="s">
        <v>98</v>
      </c>
    </row>
    <row r="36" spans="1:3">
      <c r="A36" s="49" t="s">
        <v>99</v>
      </c>
      <c r="B36" s="49" t="s">
        <v>82</v>
      </c>
      <c r="C36" s="49" t="s">
        <v>100</v>
      </c>
    </row>
    <row r="37" spans="1:3">
      <c r="A37" s="49" t="s">
        <v>99</v>
      </c>
      <c r="B37" s="49" t="s">
        <v>101</v>
      </c>
      <c r="C37" s="49" t="s">
        <v>102</v>
      </c>
    </row>
    <row r="38" spans="1:3">
      <c r="A38" s="49" t="s">
        <v>99</v>
      </c>
      <c r="B38" s="49" t="s">
        <v>103</v>
      </c>
      <c r="C38" s="49" t="s">
        <v>104</v>
      </c>
    </row>
    <row r="39" spans="1:3">
      <c r="A39" s="49" t="s">
        <v>99</v>
      </c>
      <c r="B39" s="49" t="s">
        <v>105</v>
      </c>
      <c r="C39" s="49" t="s">
        <v>106</v>
      </c>
    </row>
    <row r="40" spans="1:3">
      <c r="A40" s="49" t="s">
        <v>99</v>
      </c>
      <c r="B40" s="49" t="s">
        <v>107</v>
      </c>
      <c r="C40" t="s">
        <v>108</v>
      </c>
    </row>
    <row r="41" spans="1:3">
      <c r="A41" s="49" t="s">
        <v>99</v>
      </c>
      <c r="B41" s="49" t="s">
        <v>109</v>
      </c>
      <c r="C41" t="s">
        <v>110</v>
      </c>
    </row>
    <row r="42" spans="1:3">
      <c r="A42" s="49" t="s">
        <v>99</v>
      </c>
      <c r="B42" s="49" t="s">
        <v>111</v>
      </c>
      <c r="C42" t="s">
        <v>112</v>
      </c>
    </row>
    <row r="43" spans="1:3">
      <c r="A43" s="49" t="s">
        <v>113</v>
      </c>
      <c r="B43" s="49" t="s">
        <v>82</v>
      </c>
      <c r="C43" s="49" t="s">
        <v>114</v>
      </c>
    </row>
    <row r="44" spans="1:3">
      <c r="A44" s="49" t="s">
        <v>113</v>
      </c>
      <c r="B44" s="49" t="s">
        <v>84</v>
      </c>
      <c r="C44" s="49" t="s">
        <v>115</v>
      </c>
    </row>
    <row r="45" spans="1:3">
      <c r="A45" s="49" t="s">
        <v>113</v>
      </c>
      <c r="B45" s="49" t="s">
        <v>116</v>
      </c>
      <c r="C45" s="49" t="s">
        <v>117</v>
      </c>
    </row>
    <row r="46" spans="1:3">
      <c r="A46" s="49" t="s">
        <v>118</v>
      </c>
      <c r="B46" s="49" t="s">
        <v>119</v>
      </c>
      <c r="C46" s="49" t="s">
        <v>120</v>
      </c>
    </row>
    <row r="47" spans="1:3">
      <c r="A47" s="49" t="s">
        <v>118</v>
      </c>
      <c r="B47" s="49" t="s">
        <v>121</v>
      </c>
      <c r="C47" s="49" t="s">
        <v>122</v>
      </c>
    </row>
    <row r="48" spans="1:3">
      <c r="A48" s="49" t="s">
        <v>118</v>
      </c>
      <c r="B48" s="49" t="s">
        <v>123</v>
      </c>
      <c r="C48" s="49" t="s">
        <v>124</v>
      </c>
    </row>
    <row r="49" spans="1:3">
      <c r="A49" s="49" t="s">
        <v>118</v>
      </c>
      <c r="B49" s="49" t="s">
        <v>125</v>
      </c>
      <c r="C49" s="49" t="s">
        <v>126</v>
      </c>
    </row>
    <row r="50" spans="1:3">
      <c r="A50" s="49" t="s">
        <v>118</v>
      </c>
      <c r="B50" s="49" t="s">
        <v>127</v>
      </c>
      <c r="C50" s="49" t="s">
        <v>128</v>
      </c>
    </row>
    <row r="51" spans="1:3">
      <c r="A51" s="49" t="s">
        <v>129</v>
      </c>
      <c r="B51" s="49" t="s">
        <v>130</v>
      </c>
      <c r="C51" s="49" t="s">
        <v>131</v>
      </c>
    </row>
    <row r="52" spans="1:3">
      <c r="A52" s="49" t="s">
        <v>132</v>
      </c>
      <c r="B52" s="49" t="s">
        <v>133</v>
      </c>
      <c r="C52" s="49" t="s">
        <v>134</v>
      </c>
    </row>
    <row r="53" spans="1:3">
      <c r="A53" s="49" t="s">
        <v>132</v>
      </c>
      <c r="B53" s="49" t="s">
        <v>135</v>
      </c>
      <c r="C53" t="s">
        <v>136</v>
      </c>
    </row>
    <row r="54" spans="1:3">
      <c r="A54" s="49" t="s">
        <v>132</v>
      </c>
      <c r="B54" s="49" t="s">
        <v>137</v>
      </c>
      <c r="C54" s="49" t="s">
        <v>138</v>
      </c>
    </row>
    <row r="55" spans="1:3">
      <c r="A55" s="49" t="s">
        <v>139</v>
      </c>
      <c r="B55" s="49" t="s">
        <v>64</v>
      </c>
      <c r="C55" s="49" t="s">
        <v>140</v>
      </c>
    </row>
    <row r="56" spans="1:3">
      <c r="A56" t="s">
        <v>139</v>
      </c>
      <c r="B56" t="s">
        <v>141</v>
      </c>
      <c r="C56" t="s">
        <v>142</v>
      </c>
    </row>
    <row r="57" spans="1:3">
      <c r="A57" s="50" t="s">
        <v>143</v>
      </c>
      <c r="B57" s="50" t="s">
        <v>144</v>
      </c>
      <c r="C57" s="50" t="s">
        <v>145</v>
      </c>
    </row>
    <row r="58" ht="30" spans="1:3">
      <c r="A58" s="50" t="s">
        <v>143</v>
      </c>
      <c r="B58" s="50" t="s">
        <v>146</v>
      </c>
      <c r="C58" s="50" t="s">
        <v>147</v>
      </c>
    </row>
    <row r="59" ht="30" spans="1:3">
      <c r="A59" s="50" t="s">
        <v>143</v>
      </c>
      <c r="B59" s="50" t="s">
        <v>148</v>
      </c>
      <c r="C59" s="50" t="s">
        <v>149</v>
      </c>
    </row>
    <row r="60" ht="30" spans="1:3">
      <c r="A60" s="50" t="s">
        <v>150</v>
      </c>
      <c r="B60" s="50" t="s">
        <v>151</v>
      </c>
      <c r="C60" s="50" t="s">
        <v>152</v>
      </c>
    </row>
    <row r="61" ht="30" spans="1:3">
      <c r="A61" s="50" t="s">
        <v>150</v>
      </c>
      <c r="B61" s="50" t="s">
        <v>153</v>
      </c>
      <c r="C61" s="50" t="s">
        <v>154</v>
      </c>
    </row>
    <row r="62" ht="30" spans="1:3">
      <c r="A62" s="50" t="s">
        <v>150</v>
      </c>
      <c r="B62" s="50" t="s">
        <v>155</v>
      </c>
      <c r="C62" s="50" t="s">
        <v>156</v>
      </c>
    </row>
    <row r="63" ht="30" spans="1:3">
      <c r="A63" s="50" t="s">
        <v>150</v>
      </c>
      <c r="B63" s="50" t="s">
        <v>157</v>
      </c>
      <c r="C63" s="50" t="s">
        <v>158</v>
      </c>
    </row>
  </sheetData>
  <mergeCells count="1">
    <mergeCell ref="A1:C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zoomScale="85" zoomScaleNormal="85" topLeftCell="A28" workbookViewId="0">
      <selection activeCell="A17" sqref="A17:G17"/>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s="2" t="s">
        <v>219</v>
      </c>
      <c r="B16" s="2" t="s">
        <v>220</v>
      </c>
      <c r="C16" s="2" t="s">
        <v>200</v>
      </c>
      <c r="D16" s="2" t="s">
        <v>221</v>
      </c>
      <c r="E16" s="2" t="s">
        <v>222</v>
      </c>
    </row>
    <row r="17" spans="1:5">
      <c r="A17" t="s">
        <v>223</v>
      </c>
      <c r="B17" t="s">
        <v>224</v>
      </c>
      <c r="C17" t="s">
        <v>200</v>
      </c>
      <c r="D17" t="s">
        <v>225</v>
      </c>
      <c r="E17" t="s">
        <v>226</v>
      </c>
    </row>
    <row r="18" spans="1:5">
      <c r="A18" s="2" t="s">
        <v>227</v>
      </c>
      <c r="B18" s="2" t="s">
        <v>228</v>
      </c>
      <c r="C18" s="2" t="s">
        <v>200</v>
      </c>
      <c r="D18" s="2" t="s">
        <v>229</v>
      </c>
      <c r="E18" s="2" t="s">
        <v>230</v>
      </c>
    </row>
    <row r="19" spans="1:5">
      <c r="A19" s="2"/>
      <c r="B19" s="2"/>
      <c r="C19" s="2"/>
      <c r="D19" s="2"/>
      <c r="E19" s="2"/>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s="2" t="s">
        <v>195</v>
      </c>
      <c r="B56" s="2" t="s">
        <v>196</v>
      </c>
      <c r="C56" s="2" t="s">
        <v>165</v>
      </c>
      <c r="D56" s="2" t="s">
        <v>350</v>
      </c>
      <c r="E56" s="2" t="s">
        <v>351</v>
      </c>
    </row>
    <row r="57" spans="1:5">
      <c r="A57" s="2" t="s">
        <v>352</v>
      </c>
      <c r="B57" s="2" t="s">
        <v>353</v>
      </c>
      <c r="C57" s="2" t="s">
        <v>354</v>
      </c>
      <c r="D57" s="2" t="s">
        <v>355</v>
      </c>
      <c r="E57" s="2" t="s">
        <v>356</v>
      </c>
    </row>
    <row r="58" spans="1:5">
      <c r="A58" s="2" t="s">
        <v>357</v>
      </c>
      <c r="B58" s="2" t="s">
        <v>358</v>
      </c>
      <c r="C58" s="2" t="s">
        <v>354</v>
      </c>
      <c r="D58" s="2" t="s">
        <v>359</v>
      </c>
      <c r="E58" s="2" t="s">
        <v>360</v>
      </c>
    </row>
    <row r="59" spans="1:5">
      <c r="A59" s="2" t="s">
        <v>361</v>
      </c>
      <c r="B59" s="2" t="s">
        <v>362</v>
      </c>
      <c r="C59" s="2" t="s">
        <v>363</v>
      </c>
      <c r="D59" s="2" t="s">
        <v>364</v>
      </c>
      <c r="E59" s="2" t="s">
        <v>365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workbookViewId="0">
      <selection activeCell="D38" sqref="D38"/>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30" customFormat="1" spans="1:17">
      <c r="A1" s="30" t="s">
        <v>366</v>
      </c>
      <c r="B1" s="31" t="s">
        <v>367</v>
      </c>
      <c r="C1" s="31" t="s">
        <v>368</v>
      </c>
      <c r="D1" s="31" t="s">
        <v>369</v>
      </c>
      <c r="E1" s="31" t="s">
        <v>370</v>
      </c>
      <c r="F1" s="30" t="s">
        <v>371</v>
      </c>
      <c r="G1" s="30" t="s">
        <v>372</v>
      </c>
      <c r="H1" s="30" t="s">
        <v>373</v>
      </c>
      <c r="J1" t="s">
        <v>374</v>
      </c>
      <c r="K1" s="5" t="s">
        <v>82</v>
      </c>
      <c r="L1" s="5" t="s">
        <v>375</v>
      </c>
      <c r="M1" s="5" t="s">
        <v>376</v>
      </c>
      <c r="N1" s="5" t="s">
        <v>28</v>
      </c>
      <c r="O1" s="5" t="s">
        <v>278</v>
      </c>
      <c r="P1" t="s">
        <v>162</v>
      </c>
      <c r="Q1" t="s">
        <v>377</v>
      </c>
    </row>
    <row r="2" spans="1:17">
      <c r="A2" s="2" t="s">
        <v>164</v>
      </c>
      <c r="B2" s="5">
        <v>40000</v>
      </c>
      <c r="C2" s="5">
        <v>20000</v>
      </c>
      <c r="D2" s="5">
        <f>C2*G2</f>
        <v>20000</v>
      </c>
      <c r="E2" s="32">
        <f>B2-C2</f>
        <v>20000</v>
      </c>
      <c r="F2" s="33">
        <f>E2*G2</f>
        <v>20000</v>
      </c>
      <c r="G2">
        <v>1</v>
      </c>
      <c r="H2" s="34">
        <f>G2*B2</f>
        <v>40000</v>
      </c>
      <c r="J2" t="s">
        <v>378</v>
      </c>
      <c r="K2" s="5">
        <v>100</v>
      </c>
      <c r="L2" s="5" t="s">
        <v>275</v>
      </c>
      <c r="M2" s="5">
        <v>4</v>
      </c>
      <c r="N2" s="5" t="s">
        <v>379</v>
      </c>
      <c r="O2" s="5" t="s">
        <v>380</v>
      </c>
      <c r="P2" t="s">
        <v>381</v>
      </c>
      <c r="Q2" s="4">
        <f>1000*10*0.48</f>
        <v>4800</v>
      </c>
    </row>
    <row r="3" spans="1:17">
      <c r="A3" s="2" t="s">
        <v>169</v>
      </c>
      <c r="B3" s="5">
        <v>40000</v>
      </c>
      <c r="C3" s="5">
        <v>20000</v>
      </c>
      <c r="D3" s="5">
        <f>C3*G3</f>
        <v>20000</v>
      </c>
      <c r="E3" s="32">
        <f>B3-C3</f>
        <v>20000</v>
      </c>
      <c r="F3" s="33">
        <f>E3*G3</f>
        <v>20000</v>
      </c>
      <c r="G3">
        <v>1</v>
      </c>
      <c r="H3" s="34">
        <f>G3*B3</f>
        <v>40000</v>
      </c>
      <c r="O3" t="s">
        <v>382</v>
      </c>
      <c r="P3" t="s">
        <v>383</v>
      </c>
      <c r="Q3">
        <v>1</v>
      </c>
    </row>
    <row r="4" spans="1:8">
      <c r="A4" s="2" t="s">
        <v>172</v>
      </c>
      <c r="B4" s="5">
        <v>2000</v>
      </c>
      <c r="C4" s="5">
        <v>1000</v>
      </c>
      <c r="D4" s="5">
        <f>C4*G4</f>
        <v>8400</v>
      </c>
      <c r="E4" s="32">
        <f>B4-C4</f>
        <v>1000</v>
      </c>
      <c r="F4" s="33">
        <f>E4*G4</f>
        <v>8400</v>
      </c>
      <c r="G4">
        <v>8.4</v>
      </c>
      <c r="H4" s="34">
        <f>G4*B4</f>
        <v>16800</v>
      </c>
    </row>
    <row r="5" spans="1:8">
      <c r="A5" s="2" t="s">
        <v>176</v>
      </c>
      <c r="B5" s="5">
        <v>1000</v>
      </c>
      <c r="C5" s="5">
        <v>500</v>
      </c>
      <c r="D5" s="5">
        <f>C5*G5</f>
        <v>2800</v>
      </c>
      <c r="E5" s="32">
        <f>B5-C5</f>
        <v>500</v>
      </c>
      <c r="F5" s="33">
        <f>E5*G5</f>
        <v>2800</v>
      </c>
      <c r="G5">
        <v>5.6</v>
      </c>
      <c r="H5" s="34">
        <f>G5*B5</f>
        <v>5600</v>
      </c>
    </row>
    <row r="6" spans="1:8">
      <c r="A6" s="2" t="s">
        <v>184</v>
      </c>
      <c r="B6" s="5">
        <v>1000</v>
      </c>
      <c r="C6" s="5">
        <v>500</v>
      </c>
      <c r="D6" s="5">
        <f>C6*G6</f>
        <v>5800</v>
      </c>
      <c r="E6" s="32">
        <f>B6-C6</f>
        <v>500</v>
      </c>
      <c r="F6" s="33">
        <f>E6*G6</f>
        <v>5800</v>
      </c>
      <c r="G6">
        <v>11.6</v>
      </c>
      <c r="H6" s="34">
        <f>G6*B6</f>
        <v>11600</v>
      </c>
    </row>
    <row r="7" spans="1:8">
      <c r="A7" s="2" t="s">
        <v>207</v>
      </c>
      <c r="B7" s="35">
        <v>1.2</v>
      </c>
      <c r="C7" s="35">
        <v>1</v>
      </c>
      <c r="D7" s="5">
        <f>C7*G7*100</f>
        <v>14000</v>
      </c>
      <c r="E7" s="36">
        <f>B7-C7</f>
        <v>0.2</v>
      </c>
      <c r="F7" s="33">
        <f>E7*G7*100</f>
        <v>2800</v>
      </c>
      <c r="G7">
        <v>140</v>
      </c>
      <c r="H7" s="34">
        <f>G7*B7*100</f>
        <v>16800</v>
      </c>
    </row>
    <row r="8" spans="1:8">
      <c r="A8" t="s">
        <v>384</v>
      </c>
      <c r="B8" s="35">
        <v>0.2</v>
      </c>
      <c r="C8" s="35">
        <v>0</v>
      </c>
      <c r="D8" s="5">
        <f>C8*G8*100</f>
        <v>0</v>
      </c>
      <c r="E8" s="36">
        <f>B8-C8</f>
        <v>0.2</v>
      </c>
      <c r="F8" s="33">
        <f>E8*G8*100</f>
        <v>2800</v>
      </c>
      <c r="G8">
        <v>140</v>
      </c>
      <c r="H8" s="34">
        <f>G8*B8*100</f>
        <v>2800</v>
      </c>
    </row>
    <row r="9" spans="1:8">
      <c r="A9" s="2" t="s">
        <v>198</v>
      </c>
      <c r="B9" s="35">
        <v>0.2</v>
      </c>
      <c r="C9" s="35">
        <v>0</v>
      </c>
      <c r="D9" s="5">
        <f>C9*G9*100</f>
        <v>0</v>
      </c>
      <c r="E9" s="36">
        <f>B9-C9</f>
        <v>0.2</v>
      </c>
      <c r="F9" s="33">
        <f>E9*G9*100</f>
        <v>2800</v>
      </c>
      <c r="G9">
        <v>140</v>
      </c>
      <c r="H9" s="34">
        <f>G9*B9*100</f>
        <v>2800</v>
      </c>
    </row>
    <row r="10" spans="1:8">
      <c r="A10" s="2" t="s">
        <v>203</v>
      </c>
      <c r="B10" s="35">
        <v>1</v>
      </c>
      <c r="C10" s="35">
        <v>0.5</v>
      </c>
      <c r="D10" s="5">
        <f>C10*G10*100</f>
        <v>1400</v>
      </c>
      <c r="E10" s="36">
        <f>B10-C10</f>
        <v>0.5</v>
      </c>
      <c r="F10" s="33">
        <f>E10*G10*100</f>
        <v>1400</v>
      </c>
      <c r="G10">
        <v>28</v>
      </c>
      <c r="H10" s="34">
        <f>G10*B10*100</f>
        <v>2800</v>
      </c>
    </row>
    <row r="11" spans="1:8">
      <c r="A11" s="2" t="s">
        <v>191</v>
      </c>
      <c r="B11" s="5">
        <v>100</v>
      </c>
      <c r="C11" s="5">
        <v>100</v>
      </c>
      <c r="D11" s="5">
        <f>C11*G11</f>
        <v>40000</v>
      </c>
      <c r="E11" s="32">
        <f>B11-C11</f>
        <v>0</v>
      </c>
      <c r="F11" s="33">
        <f>E11*G11</f>
        <v>0</v>
      </c>
      <c r="G11">
        <v>400</v>
      </c>
      <c r="H11" s="34">
        <f>G11*B11</f>
        <v>40000</v>
      </c>
    </row>
    <row r="12" spans="1:8">
      <c r="A12" t="s">
        <v>385</v>
      </c>
      <c r="B12" s="5">
        <v>4</v>
      </c>
      <c r="C12" s="5">
        <v>4</v>
      </c>
      <c r="D12" s="5">
        <f>C12*G12</f>
        <v>4500</v>
      </c>
      <c r="E12" s="32">
        <f>B12-C12</f>
        <v>0</v>
      </c>
      <c r="F12" s="33">
        <f>E12*G12</f>
        <v>0</v>
      </c>
      <c r="G12">
        <v>1125</v>
      </c>
      <c r="H12" s="34">
        <f>G12*B12</f>
        <v>4500</v>
      </c>
    </row>
    <row r="13" spans="1:8">
      <c r="A13" t="s">
        <v>386</v>
      </c>
      <c r="B13" s="5">
        <v>1</v>
      </c>
      <c r="C13" s="5">
        <v>0</v>
      </c>
      <c r="D13" s="5">
        <f>C13*G13</f>
        <v>0</v>
      </c>
      <c r="E13" s="32">
        <f>B13-C13</f>
        <v>1</v>
      </c>
      <c r="F13" s="33">
        <f>E13*G13</f>
        <v>4800</v>
      </c>
      <c r="G13">
        <v>4800</v>
      </c>
      <c r="H13" s="34">
        <f>G13*B13</f>
        <v>4800</v>
      </c>
    </row>
    <row r="14" spans="1:8">
      <c r="A14" t="s">
        <v>387</v>
      </c>
      <c r="B14" s="5">
        <v>10</v>
      </c>
      <c r="C14" s="5">
        <v>10</v>
      </c>
      <c r="D14" s="5">
        <f>C14*G14</f>
        <v>23260</v>
      </c>
      <c r="E14" s="32">
        <f>B14-C14</f>
        <v>0</v>
      </c>
      <c r="F14" s="33">
        <f>E14*G14</f>
        <v>0</v>
      </c>
      <c r="G14">
        <v>2326</v>
      </c>
      <c r="H14" s="34">
        <f>G14*B14</f>
        <v>23260</v>
      </c>
    </row>
    <row r="15" spans="1:8">
      <c r="A15" s="2" t="s">
        <v>211</v>
      </c>
      <c r="B15" s="35">
        <v>1</v>
      </c>
      <c r="C15" s="35">
        <v>1</v>
      </c>
      <c r="D15" s="5">
        <f>C15*G15*100</f>
        <v>16800</v>
      </c>
      <c r="E15" s="32">
        <f>B15-C15</f>
        <v>0</v>
      </c>
      <c r="F15" s="33">
        <f>E15*G15</f>
        <v>0</v>
      </c>
      <c r="G15">
        <v>168</v>
      </c>
      <c r="H15" s="34">
        <f>G15*B15*100</f>
        <v>16800</v>
      </c>
    </row>
    <row r="16" spans="1:8">
      <c r="A16" s="2" t="s">
        <v>215</v>
      </c>
      <c r="B16" s="35">
        <v>0</v>
      </c>
      <c r="C16" s="35">
        <v>0</v>
      </c>
      <c r="D16" s="5">
        <f>C16*G16*100</f>
        <v>0</v>
      </c>
      <c r="E16" s="32">
        <f>B16-C16</f>
        <v>0</v>
      </c>
      <c r="F16" s="33">
        <f>E16*G16</f>
        <v>0</v>
      </c>
      <c r="G16">
        <v>168</v>
      </c>
      <c r="H16" s="34">
        <f>G16*B16</f>
        <v>0</v>
      </c>
    </row>
    <row r="17" spans="1:8">
      <c r="A17" s="2" t="s">
        <v>219</v>
      </c>
      <c r="B17" s="35">
        <v>0</v>
      </c>
      <c r="C17" s="35"/>
      <c r="D17" s="5">
        <f>C17*G17*100</f>
        <v>0</v>
      </c>
      <c r="E17" s="32">
        <f>B17-C17</f>
        <v>0</v>
      </c>
      <c r="F17" s="33">
        <f>E17*G17</f>
        <v>0</v>
      </c>
      <c r="G17">
        <v>233</v>
      </c>
      <c r="H17" s="34">
        <f>G17*B17</f>
        <v>0</v>
      </c>
    </row>
    <row r="18" s="3" customFormat="1" spans="1:8">
      <c r="A18" s="3" t="s">
        <v>388</v>
      </c>
      <c r="D18" s="37">
        <f>SUM(D2:D17)</f>
        <v>156960</v>
      </c>
      <c r="F18" s="37">
        <f>SUM(F2:F17)</f>
        <v>71600</v>
      </c>
      <c r="H18" s="37">
        <f>SUM(H2:H17)</f>
        <v>228560</v>
      </c>
    </row>
    <row r="19" spans="1:6">
      <c r="A19" t="s">
        <v>389</v>
      </c>
      <c r="F19" s="34">
        <f>F18/4</f>
        <v>17900</v>
      </c>
    </row>
    <row r="21" spans="1:1">
      <c r="A21" t="s">
        <v>390</v>
      </c>
    </row>
    <row r="24" ht="23.25" spans="1:1">
      <c r="A24" s="38" t="s">
        <v>391</v>
      </c>
    </row>
    <row r="25" spans="1:1">
      <c r="A25" s="39"/>
    </row>
    <row r="26" ht="18.75" spans="1:1">
      <c r="A26" s="40" t="s">
        <v>392</v>
      </c>
    </row>
    <row r="27" spans="1:1">
      <c r="A27" s="39"/>
    </row>
    <row r="28" spans="1:1">
      <c r="A28" s="41" t="s">
        <v>393</v>
      </c>
    </row>
    <row r="29" spans="1:1">
      <c r="A29" s="42" t="s">
        <v>394</v>
      </c>
    </row>
    <row r="30" spans="1:1">
      <c r="A30" s="42" t="s">
        <v>395</v>
      </c>
    </row>
    <row r="31" spans="1:1">
      <c r="A31" s="42" t="s">
        <v>396</v>
      </c>
    </row>
    <row r="32" spans="1:1">
      <c r="A32" s="42" t="s">
        <v>397</v>
      </c>
    </row>
    <row r="33" spans="1:1">
      <c r="A33" s="42" t="s">
        <v>398</v>
      </c>
    </row>
    <row r="34" spans="1:1">
      <c r="A34" s="42" t="s">
        <v>399</v>
      </c>
    </row>
    <row r="35" spans="1:1">
      <c r="A35" s="42" t="s">
        <v>400</v>
      </c>
    </row>
    <row r="36" spans="1:1">
      <c r="A36" s="42" t="s">
        <v>401</v>
      </c>
    </row>
    <row r="37" spans="1:1">
      <c r="A37" s="42" t="s">
        <v>402</v>
      </c>
    </row>
    <row r="38" spans="1:1">
      <c r="A38" s="42" t="s">
        <v>403</v>
      </c>
    </row>
    <row r="39" spans="1:1">
      <c r="A39" s="39"/>
    </row>
    <row r="40" ht="18.75" spans="1:1">
      <c r="A40" s="40" t="s">
        <v>404</v>
      </c>
    </row>
    <row r="41" spans="1:1">
      <c r="A41" s="43" t="s">
        <v>405</v>
      </c>
    </row>
    <row r="42" spans="1:1">
      <c r="A42" s="39" t="s">
        <v>406</v>
      </c>
    </row>
    <row r="43" spans="1:1">
      <c r="A43" s="39"/>
    </row>
    <row r="44" spans="1:1">
      <c r="A44" s="43" t="s">
        <v>407</v>
      </c>
    </row>
    <row r="45" spans="1:1">
      <c r="A45" s="39" t="s">
        <v>408</v>
      </c>
    </row>
    <row r="46" spans="1:1">
      <c r="A46" s="39"/>
    </row>
    <row r="47" spans="1:1">
      <c r="A47" s="43" t="s">
        <v>409</v>
      </c>
    </row>
    <row r="48" spans="1:1">
      <c r="A48" s="39" t="s">
        <v>410</v>
      </c>
    </row>
    <row r="49" spans="1:1">
      <c r="A49" s="39"/>
    </row>
    <row r="50" spans="1:1">
      <c r="A50" s="43" t="s">
        <v>411</v>
      </c>
    </row>
    <row r="51" spans="1:1">
      <c r="A51" s="39" t="s">
        <v>412</v>
      </c>
    </row>
    <row r="52" spans="1:1">
      <c r="A52" s="39"/>
    </row>
    <row r="53" spans="1:1">
      <c r="A53" s="43" t="s">
        <v>413</v>
      </c>
    </row>
    <row r="54" spans="1:1">
      <c r="A54" s="39" t="s">
        <v>414</v>
      </c>
    </row>
    <row r="55" spans="1:1">
      <c r="A55" s="39"/>
    </row>
    <row r="56" spans="1:1">
      <c r="A56" s="43" t="s">
        <v>415</v>
      </c>
    </row>
    <row r="57" spans="1:1">
      <c r="A57" s="39" t="s">
        <v>416</v>
      </c>
    </row>
    <row r="58" spans="1:1">
      <c r="A58" s="39"/>
    </row>
    <row r="59" spans="1:1">
      <c r="A59" s="39" t="s">
        <v>417</v>
      </c>
    </row>
    <row r="60" spans="1:1">
      <c r="A60" s="39"/>
    </row>
    <row r="61" ht="18.75" spans="1:1">
      <c r="A61" s="40" t="s">
        <v>418</v>
      </c>
    </row>
    <row r="62" spans="1:1">
      <c r="A62" s="39"/>
    </row>
    <row r="63" spans="1:1">
      <c r="A63" s="43" t="s">
        <v>419</v>
      </c>
    </row>
    <row r="64" spans="1:1">
      <c r="A64" s="39" t="s">
        <v>420</v>
      </c>
    </row>
    <row r="65" spans="1:1">
      <c r="A65" s="39" t="s">
        <v>421</v>
      </c>
    </row>
    <row r="66" spans="1:1">
      <c r="A66" s="39"/>
    </row>
    <row r="67" spans="1:1">
      <c r="A67" s="43" t="s">
        <v>422</v>
      </c>
    </row>
    <row r="68" spans="1:1">
      <c r="A68" s="39" t="s">
        <v>423</v>
      </c>
    </row>
    <row r="69" spans="1:1">
      <c r="A69" s="39" t="s">
        <v>424</v>
      </c>
    </row>
    <row r="70" spans="1:1">
      <c r="A70" s="39" t="s">
        <v>425</v>
      </c>
    </row>
    <row r="71" spans="1:1">
      <c r="A71" s="39" t="s">
        <v>426</v>
      </c>
    </row>
    <row r="74" spans="1:1">
      <c r="A74" t="s">
        <v>427</v>
      </c>
    </row>
    <row r="75" spans="1:3">
      <c r="A75" s="44" t="s">
        <v>278</v>
      </c>
      <c r="B75" s="44" t="s">
        <v>428</v>
      </c>
      <c r="C75" s="44" t="s">
        <v>429</v>
      </c>
    </row>
    <row r="76" spans="1:3">
      <c r="A76" s="43" t="s">
        <v>164</v>
      </c>
      <c r="B76" s="39" t="s">
        <v>430</v>
      </c>
      <c r="C76" s="43" t="s">
        <v>431</v>
      </c>
    </row>
    <row r="77" spans="1:3">
      <c r="A77" s="43" t="s">
        <v>169</v>
      </c>
      <c r="B77" s="39" t="s">
        <v>432</v>
      </c>
      <c r="C77" s="43" t="s">
        <v>431</v>
      </c>
    </row>
    <row r="78" spans="1:3">
      <c r="A78" s="43" t="s">
        <v>172</v>
      </c>
      <c r="B78" s="39" t="s">
        <v>433</v>
      </c>
      <c r="C78" s="43" t="s">
        <v>434</v>
      </c>
    </row>
    <row r="79" spans="1:3">
      <c r="A79" s="43" t="s">
        <v>176</v>
      </c>
      <c r="B79" s="39" t="s">
        <v>435</v>
      </c>
      <c r="C79" s="43" t="s">
        <v>436</v>
      </c>
    </row>
    <row r="80" spans="1:3">
      <c r="A80" s="43" t="s">
        <v>184</v>
      </c>
      <c r="B80" s="39" t="s">
        <v>437</v>
      </c>
      <c r="C80" s="43" t="s">
        <v>438</v>
      </c>
    </row>
    <row r="81" spans="1:3">
      <c r="A81" s="43" t="s">
        <v>207</v>
      </c>
      <c r="B81" s="39" t="s">
        <v>439</v>
      </c>
      <c r="C81" s="43" t="s">
        <v>440</v>
      </c>
    </row>
    <row r="82" spans="1:3">
      <c r="A82" s="43" t="s">
        <v>227</v>
      </c>
      <c r="B82" s="39" t="s">
        <v>441</v>
      </c>
      <c r="C82" s="43" t="s">
        <v>440</v>
      </c>
    </row>
    <row r="83" spans="1:3">
      <c r="A83" s="43" t="s">
        <v>198</v>
      </c>
      <c r="B83" s="39" t="s">
        <v>442</v>
      </c>
      <c r="C83" s="43" t="s">
        <v>440</v>
      </c>
    </row>
    <row r="84" spans="1:3">
      <c r="A84" s="43" t="s">
        <v>203</v>
      </c>
      <c r="B84" s="39" t="s">
        <v>443</v>
      </c>
      <c r="C84" s="43" t="s">
        <v>444</v>
      </c>
    </row>
    <row r="85" spans="1:3">
      <c r="A85" s="43" t="s">
        <v>191</v>
      </c>
      <c r="B85" s="39" t="s">
        <v>445</v>
      </c>
      <c r="C85" s="43" t="s">
        <v>446</v>
      </c>
    </row>
    <row r="86" spans="1:3">
      <c r="A86" s="43" t="s">
        <v>361</v>
      </c>
      <c r="B86" s="39" t="s">
        <v>447</v>
      </c>
      <c r="C86" s="43" t="s">
        <v>448</v>
      </c>
    </row>
    <row r="87" spans="1:3">
      <c r="A87" s="43" t="s">
        <v>449</v>
      </c>
      <c r="B87" s="39" t="s">
        <v>450</v>
      </c>
      <c r="C87" s="43" t="s">
        <v>451</v>
      </c>
    </row>
    <row r="88" spans="1:3">
      <c r="A88" s="43" t="s">
        <v>387</v>
      </c>
      <c r="B88" s="39" t="s">
        <v>452</v>
      </c>
      <c r="C88" s="43" t="s">
        <v>453</v>
      </c>
    </row>
    <row r="89" spans="1:3">
      <c r="A89" s="43" t="s">
        <v>211</v>
      </c>
      <c r="B89" s="39" t="s">
        <v>454</v>
      </c>
      <c r="C89" s="43" t="s">
        <v>455</v>
      </c>
    </row>
    <row r="90" spans="1:3">
      <c r="A90" s="43" t="s">
        <v>215</v>
      </c>
      <c r="B90" s="39" t="s">
        <v>456</v>
      </c>
      <c r="C90" s="43" t="s">
        <v>455</v>
      </c>
    </row>
    <row r="91" spans="1:3">
      <c r="A91" s="43" t="s">
        <v>219</v>
      </c>
      <c r="B91" s="39" t="s">
        <v>457</v>
      </c>
      <c r="C91" s="43" t="s">
        <v>458</v>
      </c>
    </row>
    <row r="93" ht="18.75" spans="1:1">
      <c r="A93" s="45" t="s">
        <v>459</v>
      </c>
    </row>
    <row r="95" spans="1:1">
      <c r="A95" s="46" t="s">
        <v>460</v>
      </c>
    </row>
    <row r="97" spans="1:1">
      <c r="A97" s="47" t="s">
        <v>461</v>
      </c>
    </row>
    <row r="98" spans="1:1">
      <c r="A98" s="47" t="s">
        <v>462</v>
      </c>
    </row>
    <row r="99" spans="1:1">
      <c r="A99" s="47" t="s">
        <v>463</v>
      </c>
    </row>
    <row r="100" spans="1:1">
      <c r="A100" s="47" t="s">
        <v>464</v>
      </c>
    </row>
    <row r="101" spans="1:1">
      <c r="A101" s="47" t="s">
        <v>465</v>
      </c>
    </row>
    <row r="102" spans="1:1">
      <c r="A102" s="47" t="s">
        <v>466</v>
      </c>
    </row>
    <row r="104" spans="1:1">
      <c r="A104" s="46" t="s">
        <v>191</v>
      </c>
    </row>
    <row r="105" spans="1:1">
      <c r="A105" t="s">
        <v>467</v>
      </c>
    </row>
    <row r="107" spans="1:1">
      <c r="A107" s="46" t="s">
        <v>219</v>
      </c>
    </row>
    <row r="108" spans="1:1">
      <c r="A108" t="s">
        <v>468</v>
      </c>
    </row>
    <row r="110" ht="18.75" spans="1:1">
      <c r="A110" s="45"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5" right="0.75" top="1" bottom="1" header="0.5" footer="0.5"/>
  <headerFooter/>
  <ignoredErrors>
    <ignoredError sqref="H15"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8"/>
  <sheetViews>
    <sheetView topLeftCell="A4" workbookViewId="0">
      <selection activeCell="I33" sqref="I33"/>
    </sheetView>
  </sheetViews>
  <sheetFormatPr defaultColWidth="9.14285714285714" defaultRowHeight="15"/>
  <cols>
    <col min="1" max="1" width="20.7142857142857" style="5" customWidth="1"/>
    <col min="2" max="2" width="13.5714285714286" style="5" customWidth="1"/>
    <col min="3" max="3" width="14.1428571428571" style="5" customWidth="1"/>
    <col min="4" max="4" width="34.4285714285714" style="6" customWidth="1"/>
    <col min="5" max="5" width="28.4285714285714" style="5" customWidth="1"/>
    <col min="6" max="6" width="9.57142857142857" style="5"/>
    <col min="7" max="7" width="9.14285714285714" style="5"/>
    <col min="8" max="8" width="18" style="7" customWidth="1"/>
    <col min="9" max="9" width="11.7142857142857" style="5"/>
  </cols>
  <sheetData>
    <row r="1" s="3" customFormat="1" spans="1:9">
      <c r="A1" s="8" t="s">
        <v>479</v>
      </c>
      <c r="B1" s="9" t="s">
        <v>480</v>
      </c>
      <c r="C1" s="9" t="s">
        <v>481</v>
      </c>
      <c r="D1" s="10" t="s">
        <v>482</v>
      </c>
      <c r="E1" s="8"/>
      <c r="F1" s="8" t="s">
        <v>278</v>
      </c>
      <c r="G1" s="8" t="s">
        <v>483</v>
      </c>
      <c r="H1" s="11" t="s">
        <v>484</v>
      </c>
      <c r="I1" s="8" t="s">
        <v>485</v>
      </c>
    </row>
    <row r="2" spans="1:9">
      <c r="A2" s="12" t="s">
        <v>486</v>
      </c>
      <c r="B2" s="13" t="s">
        <v>487</v>
      </c>
      <c r="C2" s="13" t="s">
        <v>488</v>
      </c>
      <c r="D2" s="14">
        <v>0</v>
      </c>
      <c r="E2" s="15" t="s">
        <v>489</v>
      </c>
      <c r="F2" s="15">
        <f>(17900-SUM(I3:I4))/H2</f>
        <v>1975.71428571429</v>
      </c>
      <c r="G2" s="16">
        <f>F2/1000</f>
        <v>1.97571428571429</v>
      </c>
      <c r="H2" s="17">
        <v>8.4</v>
      </c>
      <c r="I2" s="15">
        <f t="shared" ref="I2:I6" si="0">F2*H2</f>
        <v>16596</v>
      </c>
    </row>
    <row r="3" spans="1:9">
      <c r="A3" s="12"/>
      <c r="B3" s="13"/>
      <c r="C3" s="13"/>
      <c r="D3" s="14"/>
      <c r="E3" s="15" t="s">
        <v>490</v>
      </c>
      <c r="F3" s="15">
        <v>4</v>
      </c>
      <c r="G3" s="16"/>
      <c r="H3" s="17">
        <v>2326</v>
      </c>
      <c r="I3" s="15">
        <f>F3*H3</f>
        <v>9304</v>
      </c>
    </row>
    <row r="4" spans="1:9">
      <c r="A4" s="12"/>
      <c r="B4" s="13"/>
      <c r="C4" s="13"/>
      <c r="D4" s="14"/>
      <c r="E4" s="15" t="s">
        <v>491</v>
      </c>
      <c r="F4" s="15">
        <v>-20</v>
      </c>
      <c r="G4" s="16"/>
      <c r="H4" s="17">
        <v>400</v>
      </c>
      <c r="I4" s="15">
        <f t="shared" si="0"/>
        <v>-8000</v>
      </c>
    </row>
    <row r="5" spans="1:9">
      <c r="A5" s="12" t="s">
        <v>492</v>
      </c>
      <c r="B5" s="13" t="s">
        <v>487</v>
      </c>
      <c r="C5" s="13" t="s">
        <v>493</v>
      </c>
      <c r="D5" s="14">
        <v>-0.5</v>
      </c>
      <c r="E5" s="15" t="s">
        <v>489</v>
      </c>
      <c r="F5" s="15">
        <f>I5/H5</f>
        <v>3559.52380952381</v>
      </c>
      <c r="G5" s="16">
        <f>F5/1000</f>
        <v>3.55952380952381</v>
      </c>
      <c r="H5" s="17">
        <v>8.4</v>
      </c>
      <c r="I5" s="15">
        <f>17900-I6</f>
        <v>29900</v>
      </c>
    </row>
    <row r="6" spans="1:9">
      <c r="A6" s="12"/>
      <c r="B6" s="13"/>
      <c r="C6" s="13"/>
      <c r="D6" s="14"/>
      <c r="E6" s="15" t="s">
        <v>491</v>
      </c>
      <c r="F6" s="15">
        <v>-30</v>
      </c>
      <c r="G6" s="16"/>
      <c r="H6" s="17">
        <v>400</v>
      </c>
      <c r="I6" s="15">
        <f t="shared" si="0"/>
        <v>-12000</v>
      </c>
    </row>
    <row r="7" spans="1:9">
      <c r="A7" s="12" t="s">
        <v>494</v>
      </c>
      <c r="B7" s="13" t="s">
        <v>487</v>
      </c>
      <c r="C7" s="13" t="s">
        <v>495</v>
      </c>
      <c r="D7" s="18">
        <v>-0.5</v>
      </c>
      <c r="E7" s="15" t="s">
        <v>489</v>
      </c>
      <c r="F7" s="15">
        <f>I7/H7</f>
        <v>2678.57142857143</v>
      </c>
      <c r="G7" s="16">
        <f>F7/1000</f>
        <v>2.67857142857143</v>
      </c>
      <c r="H7" s="17">
        <v>8.4</v>
      </c>
      <c r="I7" s="15">
        <f>17900-I8-I9</f>
        <v>22500</v>
      </c>
    </row>
    <row r="8" spans="1:9">
      <c r="A8" s="12"/>
      <c r="B8" s="13"/>
      <c r="C8" s="13"/>
      <c r="D8" s="18"/>
      <c r="E8" s="15" t="s">
        <v>496</v>
      </c>
      <c r="F8" s="19">
        <v>0.1</v>
      </c>
      <c r="G8" s="16"/>
      <c r="H8" s="17">
        <v>140</v>
      </c>
      <c r="I8" s="15">
        <f>F8*H8*100</f>
        <v>1400</v>
      </c>
    </row>
    <row r="9" spans="1:9">
      <c r="A9" s="12"/>
      <c r="B9" s="13"/>
      <c r="C9" s="13"/>
      <c r="D9" s="18"/>
      <c r="E9" s="15" t="s">
        <v>497</v>
      </c>
      <c r="F9" s="15">
        <v>-15</v>
      </c>
      <c r="G9" s="16"/>
      <c r="H9" s="17">
        <v>400</v>
      </c>
      <c r="I9" s="15">
        <f>F9*H9</f>
        <v>-6000</v>
      </c>
    </row>
    <row r="10" spans="1:9">
      <c r="A10" s="12" t="s">
        <v>498</v>
      </c>
      <c r="B10" s="13" t="s">
        <v>499</v>
      </c>
      <c r="C10" s="13" t="s">
        <v>488</v>
      </c>
      <c r="D10" s="18">
        <v>0</v>
      </c>
      <c r="E10" s="15" t="s">
        <v>489</v>
      </c>
      <c r="F10" s="15">
        <f>I10/H10</f>
        <v>1464.28571428571</v>
      </c>
      <c r="G10" s="16">
        <f>F10/1000</f>
        <v>1.46428571428571</v>
      </c>
      <c r="H10" s="17">
        <v>8.4</v>
      </c>
      <c r="I10" s="15">
        <f>17900-I11-I12</f>
        <v>12300</v>
      </c>
    </row>
    <row r="11" spans="1:9">
      <c r="A11" s="12"/>
      <c r="B11" s="13"/>
      <c r="C11" s="13"/>
      <c r="D11" s="18"/>
      <c r="E11" s="15" t="s">
        <v>496</v>
      </c>
      <c r="F11" s="20">
        <v>0.1</v>
      </c>
      <c r="G11" s="15"/>
      <c r="H11" s="17">
        <v>140</v>
      </c>
      <c r="I11" s="15">
        <f>F11*H11*100</f>
        <v>1400</v>
      </c>
    </row>
    <row r="12" spans="1:9">
      <c r="A12" s="12"/>
      <c r="B12" s="13"/>
      <c r="C12" s="13"/>
      <c r="D12" s="18"/>
      <c r="E12" s="15" t="s">
        <v>500</v>
      </c>
      <c r="F12" s="19">
        <v>0.3</v>
      </c>
      <c r="G12" s="15"/>
      <c r="H12" s="17">
        <v>140</v>
      </c>
      <c r="I12" s="15">
        <f>F12*H12*100</f>
        <v>4200</v>
      </c>
    </row>
    <row r="13" spans="1:9">
      <c r="A13" s="12" t="s">
        <v>501</v>
      </c>
      <c r="B13" s="13" t="s">
        <v>487</v>
      </c>
      <c r="C13" s="13" t="s">
        <v>502</v>
      </c>
      <c r="D13" s="14" t="s">
        <v>503</v>
      </c>
      <c r="E13" s="15" t="s">
        <v>489</v>
      </c>
      <c r="F13" s="15">
        <f>I13/H13</f>
        <v>1702.38095238095</v>
      </c>
      <c r="G13" s="16">
        <f>F13/1000</f>
        <v>1.70238095238095</v>
      </c>
      <c r="H13" s="17">
        <v>8.4</v>
      </c>
      <c r="I13" s="15">
        <f>17900-I14-I16-I15</f>
        <v>14300</v>
      </c>
    </row>
    <row r="14" spans="1:9">
      <c r="A14" s="12"/>
      <c r="B14" s="13"/>
      <c r="C14" s="13"/>
      <c r="D14" s="14"/>
      <c r="E14" s="15" t="s">
        <v>504</v>
      </c>
      <c r="F14" s="20">
        <v>0.2</v>
      </c>
      <c r="G14" s="15"/>
      <c r="H14" s="17">
        <v>140</v>
      </c>
      <c r="I14" s="15">
        <f>F14*H14*100</f>
        <v>2800</v>
      </c>
    </row>
    <row r="15" spans="1:9">
      <c r="A15" s="12"/>
      <c r="B15" s="13"/>
      <c r="C15" s="13"/>
      <c r="D15" s="14"/>
      <c r="E15" s="15" t="s">
        <v>500</v>
      </c>
      <c r="F15" s="19">
        <v>0.2</v>
      </c>
      <c r="G15" s="15"/>
      <c r="H15" s="17">
        <v>140</v>
      </c>
      <c r="I15" s="15">
        <f>F15*H15*100</f>
        <v>2800</v>
      </c>
    </row>
    <row r="16" spans="1:9">
      <c r="A16" s="12"/>
      <c r="B16" s="13"/>
      <c r="C16" s="13"/>
      <c r="D16" s="14"/>
      <c r="E16" s="15" t="s">
        <v>491</v>
      </c>
      <c r="F16" s="15">
        <v>-5</v>
      </c>
      <c r="G16" s="15"/>
      <c r="H16" s="17">
        <v>400</v>
      </c>
      <c r="I16" s="15">
        <f>F16*H16</f>
        <v>-2000</v>
      </c>
    </row>
    <row r="17" spans="1:9">
      <c r="A17" s="12" t="s">
        <v>505</v>
      </c>
      <c r="B17" s="13" t="s">
        <v>499</v>
      </c>
      <c r="C17" s="13" t="s">
        <v>506</v>
      </c>
      <c r="D17" s="18">
        <v>-0.5</v>
      </c>
      <c r="E17" s="15" t="s">
        <v>489</v>
      </c>
      <c r="F17" s="15">
        <f>I17/H17</f>
        <v>2750</v>
      </c>
      <c r="G17" s="16">
        <f>F17/1000</f>
        <v>2.75</v>
      </c>
      <c r="H17" s="17">
        <v>8.4</v>
      </c>
      <c r="I17" s="15">
        <f>17900-I18-I19</f>
        <v>23100</v>
      </c>
    </row>
    <row r="18" spans="1:9">
      <c r="A18" s="12"/>
      <c r="B18" s="13"/>
      <c r="C18" s="13"/>
      <c r="D18" s="18"/>
      <c r="E18" s="15" t="s">
        <v>507</v>
      </c>
      <c r="F18" s="15">
        <v>1</v>
      </c>
      <c r="G18" s="15"/>
      <c r="H18" s="17">
        <v>4800</v>
      </c>
      <c r="I18" s="15">
        <f t="shared" ref="I18:I20" si="1">F18*H18</f>
        <v>4800</v>
      </c>
    </row>
    <row r="19" spans="1:9">
      <c r="A19" s="12"/>
      <c r="B19" s="13"/>
      <c r="C19" s="13"/>
      <c r="D19" s="18"/>
      <c r="E19" s="15" t="s">
        <v>491</v>
      </c>
      <c r="F19" s="15">
        <v>-25</v>
      </c>
      <c r="G19" s="15"/>
      <c r="H19" s="17">
        <v>400</v>
      </c>
      <c r="I19" s="15">
        <f t="shared" si="1"/>
        <v>-10000</v>
      </c>
    </row>
    <row r="20" spans="1:9">
      <c r="A20" s="12" t="s">
        <v>508</v>
      </c>
      <c r="B20" s="13" t="s">
        <v>487</v>
      </c>
      <c r="C20" s="13" t="s">
        <v>488</v>
      </c>
      <c r="D20" s="19"/>
      <c r="E20" s="15" t="s">
        <v>489</v>
      </c>
      <c r="F20" s="15">
        <f>17900/H20</f>
        <v>2130.95238095238</v>
      </c>
      <c r="G20" s="16">
        <f>F20/1000</f>
        <v>2.13095238095238</v>
      </c>
      <c r="H20" s="17">
        <v>8.4</v>
      </c>
      <c r="I20" s="15">
        <f>F20*H20</f>
        <v>17900</v>
      </c>
    </row>
    <row r="21" spans="1:9">
      <c r="A21" s="21" t="s">
        <v>509</v>
      </c>
      <c r="B21" s="22"/>
      <c r="C21" s="22"/>
      <c r="D21" s="23"/>
      <c r="E21" s="24" t="s">
        <v>510</v>
      </c>
      <c r="F21" s="24">
        <v>500</v>
      </c>
      <c r="G21" s="16">
        <f>F21/1000</f>
        <v>0.5</v>
      </c>
      <c r="H21" s="25">
        <v>5.6</v>
      </c>
      <c r="I21" s="24">
        <f>F21*H21</f>
        <v>2800</v>
      </c>
    </row>
    <row r="22" spans="1:9">
      <c r="A22" s="21"/>
      <c r="B22" s="26"/>
      <c r="C22" s="26"/>
      <c r="D22" s="23"/>
      <c r="E22" s="15" t="s">
        <v>184</v>
      </c>
      <c r="F22" s="24">
        <v>500</v>
      </c>
      <c r="G22" s="16">
        <f>F22/1000</f>
        <v>0.5</v>
      </c>
      <c r="H22" s="25">
        <v>11.6</v>
      </c>
      <c r="I22" s="24">
        <f>F22*H22</f>
        <v>5800</v>
      </c>
    </row>
    <row r="23" s="4" customFormat="1" spans="1:9">
      <c r="A23" s="21"/>
      <c r="B23" s="27"/>
      <c r="C23" s="27"/>
      <c r="D23" s="23"/>
      <c r="E23" s="15" t="s">
        <v>511</v>
      </c>
      <c r="F23" s="15">
        <v>9300</v>
      </c>
      <c r="G23" s="16">
        <f>F23/1000</f>
        <v>9.3</v>
      </c>
      <c r="H23" s="17">
        <v>1</v>
      </c>
      <c r="I23" s="15">
        <f>17900-I21-I22</f>
        <v>9300</v>
      </c>
    </row>
    <row r="24" spans="1:9">
      <c r="A24" s="12" t="s">
        <v>512</v>
      </c>
      <c r="B24" s="13"/>
      <c r="C24" s="13"/>
      <c r="D24" s="14"/>
      <c r="E24" s="15" t="s">
        <v>511</v>
      </c>
      <c r="F24" s="15">
        <v>9300</v>
      </c>
      <c r="G24" s="16">
        <f>F24/1000</f>
        <v>9.3</v>
      </c>
      <c r="H24" s="17">
        <v>1</v>
      </c>
      <c r="I24" s="15">
        <f>F24*H24</f>
        <v>9300</v>
      </c>
    </row>
    <row r="25" spans="1:9">
      <c r="A25" s="12"/>
      <c r="B25" s="13"/>
      <c r="C25" s="13"/>
      <c r="D25" s="14"/>
      <c r="E25" s="15" t="s">
        <v>513</v>
      </c>
      <c r="F25" s="15">
        <f>I25*H25</f>
        <v>8600</v>
      </c>
      <c r="G25" s="16">
        <f>F25/1000</f>
        <v>8.6</v>
      </c>
      <c r="H25" s="17">
        <v>1</v>
      </c>
      <c r="I25" s="15">
        <f>17900-I24</f>
        <v>8600</v>
      </c>
    </row>
    <row r="26" spans="1:9">
      <c r="A26" s="12" t="s">
        <v>514</v>
      </c>
      <c r="B26" s="13"/>
      <c r="C26" s="13"/>
      <c r="D26" s="14"/>
      <c r="E26" s="15" t="s">
        <v>511</v>
      </c>
      <c r="F26" s="28">
        <f>I26/H26</f>
        <v>4100</v>
      </c>
      <c r="G26" s="16">
        <f>F26/1000</f>
        <v>4.1</v>
      </c>
      <c r="H26" s="17">
        <v>1</v>
      </c>
      <c r="I26" s="15">
        <f>17900-SUM(I27:I29)</f>
        <v>4100</v>
      </c>
    </row>
    <row r="27" spans="1:9">
      <c r="A27" s="12"/>
      <c r="B27" s="13"/>
      <c r="C27" s="13"/>
      <c r="D27" s="14"/>
      <c r="E27" s="15" t="s">
        <v>500</v>
      </c>
      <c r="F27" s="29">
        <v>0.2</v>
      </c>
      <c r="G27" s="16"/>
      <c r="H27" s="17">
        <v>140</v>
      </c>
      <c r="I27" s="15">
        <f>F27*H27*100</f>
        <v>2800</v>
      </c>
    </row>
    <row r="28" spans="1:9">
      <c r="A28" s="12"/>
      <c r="B28" s="13"/>
      <c r="C28" s="13"/>
      <c r="D28" s="14"/>
      <c r="E28" s="15" t="s">
        <v>510</v>
      </c>
      <c r="F28" s="28">
        <f>I28/H28</f>
        <v>982.142857142857</v>
      </c>
      <c r="G28" s="16">
        <f>F28/1000</f>
        <v>0.982142857142857</v>
      </c>
      <c r="H28" s="25">
        <v>5.6</v>
      </c>
      <c r="I28" s="15">
        <f>(17900-1400)/3</f>
        <v>5500</v>
      </c>
    </row>
    <row r="29" spans="1:9">
      <c r="A29" s="12"/>
      <c r="B29" s="13"/>
      <c r="C29" s="13"/>
      <c r="D29" s="14"/>
      <c r="E29" s="15" t="s">
        <v>515</v>
      </c>
      <c r="F29" s="28">
        <f>I29/H29</f>
        <v>474.137931034483</v>
      </c>
      <c r="G29" s="16">
        <f>F29/1000</f>
        <v>0.474137931034483</v>
      </c>
      <c r="H29" s="25">
        <v>11.6</v>
      </c>
      <c r="I29" s="15">
        <f>(17900-1400)/3</f>
        <v>5500</v>
      </c>
    </row>
    <row r="30" spans="1:9">
      <c r="A30" s="12" t="s">
        <v>516</v>
      </c>
      <c r="B30" s="13"/>
      <c r="C30" s="13"/>
      <c r="D30" s="14"/>
      <c r="E30" s="15" t="s">
        <v>511</v>
      </c>
      <c r="F30" s="28">
        <f>I30/H30</f>
        <v>5900</v>
      </c>
      <c r="G30" s="15"/>
      <c r="H30" s="17">
        <v>1</v>
      </c>
      <c r="I30" s="15">
        <v>5900</v>
      </c>
    </row>
    <row r="31" spans="1:9">
      <c r="A31" s="12"/>
      <c r="B31" s="13"/>
      <c r="C31" s="13"/>
      <c r="D31" s="14"/>
      <c r="E31" s="15" t="s">
        <v>510</v>
      </c>
      <c r="F31" s="28">
        <f>I31/H31</f>
        <v>1071.42857142857</v>
      </c>
      <c r="G31" s="15"/>
      <c r="H31" s="25">
        <v>5.6</v>
      </c>
      <c r="I31" s="15">
        <v>6000</v>
      </c>
    </row>
    <row r="32" spans="1:9">
      <c r="A32" s="12"/>
      <c r="B32" s="13"/>
      <c r="C32" s="13"/>
      <c r="D32" s="14"/>
      <c r="E32" s="15" t="s">
        <v>515</v>
      </c>
      <c r="F32" s="28">
        <f>I32/H32</f>
        <v>517.241379310345</v>
      </c>
      <c r="G32" s="15"/>
      <c r="H32" s="25">
        <v>11.6</v>
      </c>
      <c r="I32" s="15">
        <v>6000</v>
      </c>
    </row>
    <row r="33" spans="1:9">
      <c r="A33" s="12" t="s">
        <v>517</v>
      </c>
      <c r="B33" s="13"/>
      <c r="C33" s="13"/>
      <c r="D33" s="14"/>
      <c r="E33" s="15" t="s">
        <v>513</v>
      </c>
      <c r="F33" s="28">
        <f>I33/H33</f>
        <v>6748</v>
      </c>
      <c r="G33" s="15"/>
      <c r="H33" s="17">
        <v>1</v>
      </c>
      <c r="I33" s="15">
        <f>17900-(I34+I35)</f>
        <v>6748</v>
      </c>
    </row>
    <row r="34" spans="1:9">
      <c r="A34" s="12"/>
      <c r="B34" s="13"/>
      <c r="C34" s="13"/>
      <c r="D34" s="14"/>
      <c r="E34" s="15" t="s">
        <v>515</v>
      </c>
      <c r="F34" s="28">
        <f>I34/H34</f>
        <v>560.344827586207</v>
      </c>
      <c r="G34" s="15"/>
      <c r="H34" s="25">
        <v>11.6</v>
      </c>
      <c r="I34" s="15">
        <v>6500</v>
      </c>
    </row>
    <row r="35" spans="1:9">
      <c r="A35" s="12"/>
      <c r="B35" s="13"/>
      <c r="C35" s="13"/>
      <c r="D35" s="14"/>
      <c r="E35" s="15" t="s">
        <v>490</v>
      </c>
      <c r="F35" s="15">
        <v>2</v>
      </c>
      <c r="G35" s="15"/>
      <c r="H35" s="17">
        <v>2326</v>
      </c>
      <c r="I35" s="15">
        <f>H35*F35</f>
        <v>4652</v>
      </c>
    </row>
    <row r="36" spans="1:9">
      <c r="A36" s="12" t="s">
        <v>518</v>
      </c>
      <c r="B36" s="13"/>
      <c r="C36" s="13"/>
      <c r="D36" s="14"/>
      <c r="E36" s="15" t="s">
        <v>489</v>
      </c>
      <c r="F36" s="15">
        <f>I36/H36</f>
        <v>702.380952380952</v>
      </c>
      <c r="G36" s="15"/>
      <c r="H36" s="17">
        <v>8.4</v>
      </c>
      <c r="I36" s="15">
        <v>5900</v>
      </c>
    </row>
    <row r="37" spans="1:9">
      <c r="A37" s="12"/>
      <c r="B37" s="13"/>
      <c r="C37" s="13"/>
      <c r="D37" s="14"/>
      <c r="E37" s="15" t="s">
        <v>496</v>
      </c>
      <c r="F37" s="19">
        <f>I37/H37/100</f>
        <v>0.214285714285714</v>
      </c>
      <c r="G37" s="15"/>
      <c r="H37" s="17">
        <v>140</v>
      </c>
      <c r="I37" s="15">
        <v>3000</v>
      </c>
    </row>
    <row r="38" spans="1:9">
      <c r="A38" s="12"/>
      <c r="B38" s="13"/>
      <c r="C38" s="13"/>
      <c r="D38" s="14"/>
      <c r="E38" s="15" t="s">
        <v>519</v>
      </c>
      <c r="F38" s="19">
        <f>I38/H38/100</f>
        <v>1.07142857142857</v>
      </c>
      <c r="G38" s="15"/>
      <c r="H38" s="17">
        <v>28</v>
      </c>
      <c r="I38" s="15">
        <v>3000</v>
      </c>
    </row>
    <row r="39" spans="1:9">
      <c r="A39" s="12"/>
      <c r="B39" s="13"/>
      <c r="C39" s="13"/>
      <c r="D39" s="14"/>
      <c r="E39" s="15" t="s">
        <v>500</v>
      </c>
      <c r="F39" s="19">
        <f>I39/H39/100</f>
        <v>0.428571428571429</v>
      </c>
      <c r="G39" s="15"/>
      <c r="H39" s="17">
        <v>140</v>
      </c>
      <c r="I39" s="15">
        <v>6000</v>
      </c>
    </row>
    <row r="42" spans="1:1">
      <c r="A42" t="s">
        <v>520</v>
      </c>
    </row>
    <row r="43" spans="1:1">
      <c r="A43" s="4" t="s">
        <v>521</v>
      </c>
    </row>
    <row r="44" spans="1:1">
      <c r="A44" s="5" t="s">
        <v>522</v>
      </c>
    </row>
    <row r="45" spans="1:1">
      <c r="A45" s="5" t="s">
        <v>523</v>
      </c>
    </row>
    <row r="46" spans="1:1">
      <c r="A46" s="5" t="s">
        <v>524</v>
      </c>
    </row>
    <row r="47" spans="1:1">
      <c r="A47" s="5" t="s">
        <v>525</v>
      </c>
    </row>
    <row r="48" spans="1:1">
      <c r="A48" s="5" t="s">
        <v>526</v>
      </c>
    </row>
  </sheetData>
  <mergeCells count="48">
    <mergeCell ref="A2:A4"/>
    <mergeCell ref="A5:A6"/>
    <mergeCell ref="A7:A9"/>
    <mergeCell ref="A10:A12"/>
    <mergeCell ref="A13:A16"/>
    <mergeCell ref="A17:A19"/>
    <mergeCell ref="A21:A23"/>
    <mergeCell ref="A24:A25"/>
    <mergeCell ref="A26:A29"/>
    <mergeCell ref="A30:A32"/>
    <mergeCell ref="A33:A35"/>
    <mergeCell ref="A36:A39"/>
    <mergeCell ref="B2:B4"/>
    <mergeCell ref="B5:B6"/>
    <mergeCell ref="B7:B9"/>
    <mergeCell ref="B10:B12"/>
    <mergeCell ref="B13:B16"/>
    <mergeCell ref="B17:B19"/>
    <mergeCell ref="B21:B23"/>
    <mergeCell ref="B24:B25"/>
    <mergeCell ref="B26:B29"/>
    <mergeCell ref="B30:B32"/>
    <mergeCell ref="B33:B35"/>
    <mergeCell ref="B36:B39"/>
    <mergeCell ref="C2:C4"/>
    <mergeCell ref="C5:C6"/>
    <mergeCell ref="C7:C9"/>
    <mergeCell ref="C10:C12"/>
    <mergeCell ref="C13:C16"/>
    <mergeCell ref="C17:C19"/>
    <mergeCell ref="C21:C23"/>
    <mergeCell ref="C24:C25"/>
    <mergeCell ref="C26:C29"/>
    <mergeCell ref="C30:C32"/>
    <mergeCell ref="C33:C35"/>
    <mergeCell ref="C36:C39"/>
    <mergeCell ref="D2:D4"/>
    <mergeCell ref="D5:D6"/>
    <mergeCell ref="D7:D9"/>
    <mergeCell ref="D10:D12"/>
    <mergeCell ref="D13:D16"/>
    <mergeCell ref="D17:D19"/>
    <mergeCell ref="D21:D23"/>
    <mergeCell ref="D24:D25"/>
    <mergeCell ref="D26:D29"/>
    <mergeCell ref="D30:D32"/>
    <mergeCell ref="D33:D35"/>
    <mergeCell ref="D36:D39"/>
  </mergeCells>
  <pageMargins left="0.75" right="0.75" top="1" bottom="1" header="0.5" footer="0.5"/>
  <headerFooter/>
  <ignoredErrors>
    <ignoredError sqref="I8"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tabSelected="1" workbookViewId="0">
      <selection activeCell="C18" sqref="C18"/>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527</v>
      </c>
      <c r="B1" s="1" t="s">
        <v>528</v>
      </c>
      <c r="C1" s="1" t="s">
        <v>529</v>
      </c>
    </row>
    <row r="2" spans="1:3">
      <c r="A2" s="2" t="s">
        <v>530</v>
      </c>
      <c r="B2" s="2"/>
      <c r="C2" s="2" t="s">
        <v>531</v>
      </c>
    </row>
    <row r="3" spans="1:3">
      <c r="A3" s="2" t="s">
        <v>532</v>
      </c>
      <c r="B3" s="2"/>
      <c r="C3" s="2" t="s">
        <v>533</v>
      </c>
    </row>
    <row r="4" spans="1:3">
      <c r="A4" s="2" t="s">
        <v>534</v>
      </c>
      <c r="B4" s="2"/>
      <c r="C4" s="2" t="s">
        <v>535</v>
      </c>
    </row>
    <row r="5" spans="1:3">
      <c r="A5" s="2" t="s">
        <v>536</v>
      </c>
      <c r="B5" s="2"/>
      <c r="C5" s="2" t="s">
        <v>537</v>
      </c>
    </row>
    <row r="6" spans="1:3">
      <c r="A6" s="2" t="s">
        <v>538</v>
      </c>
      <c r="B6" s="2"/>
      <c r="C6" s="2" t="s">
        <v>539</v>
      </c>
    </row>
    <row r="7" spans="1:3">
      <c r="A7" s="2" t="s">
        <v>540</v>
      </c>
      <c r="B7" s="2"/>
      <c r="C7" s="2" t="s">
        <v>541</v>
      </c>
    </row>
    <row r="8" spans="1:3">
      <c r="A8" s="2" t="s">
        <v>542</v>
      </c>
      <c r="B8" s="2"/>
      <c r="C8" s="2" t="s">
        <v>543</v>
      </c>
    </row>
    <row r="9" spans="1:3">
      <c r="A9" s="2" t="s">
        <v>544</v>
      </c>
      <c r="B9" s="2"/>
      <c r="C9" s="2" t="s">
        <v>545</v>
      </c>
    </row>
    <row r="10" spans="1:3">
      <c r="A10" s="2" t="s">
        <v>546</v>
      </c>
      <c r="B10" s="2"/>
      <c r="C10" s="2" t="s">
        <v>547</v>
      </c>
    </row>
    <row r="11" spans="1:3">
      <c r="A11" s="2" t="s">
        <v>548</v>
      </c>
      <c r="B11" s="2"/>
      <c r="C11" s="2" t="s">
        <v>549</v>
      </c>
    </row>
    <row r="12" spans="1:3">
      <c r="A12" s="2" t="s">
        <v>550</v>
      </c>
      <c r="B12" s="2"/>
      <c r="C12" s="2" t="s">
        <v>551</v>
      </c>
    </row>
    <row r="13" spans="1:3">
      <c r="A13" s="2" t="s">
        <v>552</v>
      </c>
      <c r="B13" s="2"/>
      <c r="C13" s="2" t="s">
        <v>553</v>
      </c>
    </row>
    <row r="14" spans="1:3">
      <c r="A14" s="2" t="s">
        <v>554</v>
      </c>
      <c r="B14" s="2"/>
      <c r="C14" s="2" t="s">
        <v>555</v>
      </c>
    </row>
    <row r="15" spans="1:3">
      <c r="A15" s="2" t="s">
        <v>516</v>
      </c>
      <c r="B15" s="2">
        <v>5</v>
      </c>
      <c r="C15" s="2" t="s">
        <v>556</v>
      </c>
    </row>
    <row r="16" spans="1:3">
      <c r="A16" s="2" t="s">
        <v>557</v>
      </c>
      <c r="B16" s="2"/>
      <c r="C16" s="2" t="s">
        <v>558</v>
      </c>
    </row>
    <row r="17" spans="1:3">
      <c r="A17" s="2"/>
      <c r="B17" s="2"/>
      <c r="C17" s="2"/>
    </row>
    <row r="18" spans="1:3">
      <c r="A18" s="2" t="s">
        <v>460</v>
      </c>
      <c r="B18" s="2">
        <v>3</v>
      </c>
      <c r="C18" s="2" t="s">
        <v>559</v>
      </c>
    </row>
    <row r="19" spans="1:3">
      <c r="A19" s="2" t="s">
        <v>560</v>
      </c>
      <c r="B19" s="2">
        <v>3</v>
      </c>
      <c r="C19" s="2" t="inlineStr">
        <is>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is>
      </c>
    </row>
    <row r="20" spans="1:3">
      <c r="A20" s="2" t="s">
        <v>361</v>
      </c>
      <c r="B20" s="2"/>
      <c r="C20" s="2" t="s">
        <v>562</v>
      </c>
    </row>
    <row r="21" spans="1:3">
      <c r="A21" s="2" t="s">
        <v>563</v>
      </c>
      <c r="B21" s="2"/>
      <c r="C21" s="2" t="s">
        <v>564</v>
      </c>
    </row>
    <row r="22" spans="1:3">
      <c r="A22" s="2" t="s">
        <v>565</v>
      </c>
      <c r="B22" s="2"/>
      <c r="C22" s="2" t="s">
        <v>566</v>
      </c>
    </row>
    <row r="23" spans="1:3">
      <c r="A23" s="2" t="s">
        <v>567</v>
      </c>
      <c r="B23" s="2"/>
      <c r="C23" s="2" t="s">
        <v>568</v>
      </c>
    </row>
    <row r="24" spans="1:3">
      <c r="A24" s="2" t="s">
        <v>569</v>
      </c>
      <c r="B24" s="2"/>
      <c r="C24" s="2" t="s">
        <v>570</v>
      </c>
    </row>
    <row r="25" spans="1:3">
      <c r="A25" s="2" t="s">
        <v>571</v>
      </c>
      <c r="B25" s="2"/>
      <c r="C25" s="2" t="s">
        <v>572</v>
      </c>
    </row>
    <row r="26" spans="1:3">
      <c r="A26" s="2" t="s">
        <v>573</v>
      </c>
      <c r="B26" s="2"/>
      <c r="C26" s="2" t="s">
        <v>574</v>
      </c>
    </row>
    <row r="27" spans="1:3">
      <c r="A27" s="2" t="s">
        <v>575</v>
      </c>
      <c r="B27" s="2"/>
      <c r="C27" s="2" t="s">
        <v>576</v>
      </c>
    </row>
    <row r="28" spans="1:3">
      <c r="A28" s="2" t="s">
        <v>577</v>
      </c>
      <c r="B28" s="2"/>
      <c r="C28" s="2" t="s">
        <v>578</v>
      </c>
    </row>
    <row r="29" spans="1:3">
      <c r="A29" s="2" t="s">
        <v>579</v>
      </c>
      <c r="B29" s="2"/>
      <c r="C29" s="2" t="s">
        <v>580</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L39" sqref="L39"/>
    </sheetView>
  </sheetViews>
  <sheetFormatPr defaultColWidth="9.14285714285714" defaultRowHeight="15"/>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9</vt:i4>
      </vt:variant>
    </vt:vector>
  </HeadingPairs>
  <TitlesOfParts>
    <vt:vector size="9" baseType="lpstr">
      <vt:lpstr>Ý tưởng chung</vt:lpstr>
      <vt:lpstr>Giai đoạn phát triên</vt:lpstr>
      <vt:lpstr>Combat mechanic</vt:lpstr>
      <vt:lpstr>Termynology</vt:lpstr>
      <vt:lpstr>dummy Combat power</vt:lpstr>
      <vt:lpstr>Item</vt:lpstr>
      <vt:lpstr>Formula</vt:lpstr>
      <vt:lpstr>status</vt:lpstr>
      <vt:lpstr>Character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2026-10-10T00:01:00Z</dcterms:created>
  <dcterms:modified xsi:type="dcterms:W3CDTF">2026-10-21T15:57:20Z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D61A04A6F72B4F3E94F4E259A7C78199_12</vt:lpwstr>
  </property>
  <property fmtid="{D5CDD505-2E9C-101B-9397-08002B2CF9AE}" pid="3" name="KSOProductBuildVer">
    <vt:lpwstr>1033-12.9.0.21549</vt:lpwstr>
  </property>
</Properties>
</file>