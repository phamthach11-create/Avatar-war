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180" activeTab="7"/>
  </bookViews>
  <sheets>
    <sheet name="Ý tưởng chung" sheetId="1" r:id="rId1"/>
    <sheet name="Giai đoạn phát triên" sheetId="2" r:id="rId2"/>
    <sheet name="Combat mechanic" sheetId="3" r:id="rId3"/>
    <sheet name="Termynology" sheetId="4" r:id="rId4"/>
    <sheet name="dummy Combat power" sheetId="10" r:id="rId5"/>
    <sheet name="Item" sheetId="9" r:id="rId6"/>
    <sheet name="Formula" sheetId="5" r:id="rId7"/>
    <sheet name="status" sheetId="7" r:id="rId8"/>
    <sheet name="Character" sheetId="8"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<sst xmlns="http://schemas.openxmlformats.org/spreadsheetml/2006/main" count="761" uniqueCount="581">
  <si>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</si>
  <si>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</si>
  <si>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</si>
  <si>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</si>
  <si>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</si>
  <si>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</si>
  <si>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</si>
  <si>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</si>
  <si>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</si>
  <si>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</si>
  <si>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</si>
  <si>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</si>
  <si>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</si>
  <si>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</si>
  <si>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</si>
  <si>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</si>
  <si>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</si>
  <si>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</si>
  <si>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</si>
  <si>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</si>
  <si>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</si>
  <si>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</si>
  <si>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</si>
  <si>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</si>
  <si>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</si>
  <si>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r>
      <rPr>
        <b/>
        <sz val="11"/>
        <color theme="1"/>
        <rFont val="Calibri"/>
        <charset val="134"/>
        <scheme val="minor"/>
      </rPr>
      <t>Avatar War</t>
    </r>
    <r>
      <rPr>
        <sz val="11"/>
        <color theme="1"/>
        <rFont val="Calibri"/>
        <charset val="134"/>
        <scheme val="minor"/>
      </rPr>
      <t xml:space="preserve"> is a turn-based strategy game where you command a main character and eight avatars in a 3×3 formation, aiming to defeat the enemy’s main character while protecting your own. Teams alternate turns, with the higher-AP team acting first and action slots gradually increasing from two to four, then five. Reposition your characters, defend to pass an action slot to an ally, or commit to an attack or skill. Every move costs AP, and pushing a character into negative AP can secure an immediate advantage at the cost of delaying their next opportunity to act. Victory depends on teamwork, positioning, and timing.</t>
    </r>
  </si>
  <si>
    <t>Section</t>
  </si>
  <si>
    <t>Rule</t>
  </si>
  <si>
    <t>Description</t>
  </si>
  <si>
    <t>Terminology</t>
  </si>
  <si>
    <t>Team turn</t>
  </si>
  <si>
    <t>One team's opportunity to act before control passes to the opposing team.</t>
  </si>
  <si>
    <t>Action slot</t>
  </si>
  <si>
    <t>A transferable opportunity to act, separate from its holder and AP.</t>
  </si>
  <si>
    <t>AP</t>
  </si>
  <si>
    <t>Action Points. AP may become negative through action costs or modifiers.</t>
  </si>
  <si>
    <t>I. Starting Team</t>
  </si>
  <si>
    <t>Initial initiative</t>
  </si>
  <si>
    <t>Compare the highest individual AP value on each team at the start of battle. The team with the higher value acts first.</t>
  </si>
  <si>
    <t>Initiative tie</t>
  </si>
  <si>
    <t>If both teams have the same highest AP value, randomly determine the starting team.</t>
  </si>
  <si>
    <t>II. 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</si>
  <si>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</si>
  <si>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</si>
  <si>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</si>
  <si>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</si>
  <si>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</si>
  <si>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</si>
  <si>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</si>
  <si>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</si>
  <si>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</si>
  <si>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</si>
  <si>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</si>
  <si>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</si>
  <si>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III. 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</si>
  <si>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</si>
  <si>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</si>
  <si>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</si>
  <si>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</si>
  <si>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</si>
  <si>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</si>
  <si>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IV. 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</si>
  <si>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</si>
  <si>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</si>
  <si>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</si>
  <si>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</si>
  <si>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</si>
  <si>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</si>
  <si>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</si>
  <si>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</si>
  <si>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slot count</t>
  </si>
  <si>
    <t>The initial slot count is determined at the beginning of the turn. No additional slots are created during that turn.</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</si>
  <si>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</si>
  <si>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</si>
  <si>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</si>
  <si>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the turn ends and control passes to the opposing team.</t>
  </si>
  <si>
    <t>V. Holding a Slot</t>
  </si>
  <si>
    <t>AP after assignment</t>
  </si>
  <si>
    <t>Later AP changes do not revoke an assigned slot.</t>
  </si>
  <si>
    <t>Continued actions</t>
  </si>
  <si>
    <t>The holder may continue acting with less than 100 AP or negative AP until the slot is transferred, ended, or interrupted.</t>
  </si>
  <si>
    <t>VI. Attack</t>
  </si>
  <si>
    <t>AP cost</t>
  </si>
  <si>
    <t>A normal attack costs 100 AP. Modifiers may affect the cost or resulting AP.</t>
  </si>
  <si>
    <t>Slot result</t>
  </si>
  <si>
    <t>Attacking ends the current action slot.</t>
  </si>
  <si>
    <t>VI. Skill</t>
  </si>
  <si>
    <t>AP cost depends on the skill. A character may use a skill costing more than their current AP, resulting in negative AP.</t>
  </si>
  <si>
    <t>Using a skill ends the current action slot.</t>
  </si>
  <si>
    <t>VI. 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</si>
  <si>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</si>
  <si>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</si>
  <si>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</si>
  <si>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</si>
  <si>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</si>
  <si>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</si>
  <si>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</si>
  <si>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</si>
  <si>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</si>
  <si>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VI. 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</si>
  <si>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</si>
  <si>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</si>
  <si>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</si>
  <si>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</si>
  <si>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</si>
  <si>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</si>
  <si>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</si>
  <si>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</si>
  <si>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</si>
  <si>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Useage</t>
  </si>
  <si>
    <t>While in defend state, stat defense effectivenes and skill defense effectiveness + 50%</t>
  </si>
  <si>
    <t>Duration</t>
  </si>
  <si>
    <t>Defend state end after 2 turns, at turn start (the next turn of this team)</t>
  </si>
  <si>
    <t>VI. 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</si>
  <si>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</si>
  <si>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</si>
  <si>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</si>
  <si>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</si>
  <si>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VII. 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</si>
  <si>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</si>
  <si>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</si>
  <si>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</si>
  <si>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</si>
  <si>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</si>
  <si>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</si>
  <si>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</si>
  <si>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</si>
  <si>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</si>
  <si>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</si>
  <si>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VIII. Slot Interruption</t>
  </si>
  <si>
    <t>Interruption</t>
  </si>
  <si>
    <t>If the holder dies, is stunned, or suffers another slot-interrupting effect before transferring the slot, that slot is lost and cannot be transferred afterward.</t>
  </si>
  <si>
    <t>IX. Turn End</t>
  </si>
  <si>
    <t>No remaining slots</t>
  </si>
  <si>
    <t>The team turn ends when no active action slots remain.</t>
  </si>
  <si>
    <t>Failed defensive transfer</t>
  </si>
  <si>
    <t>A failed defensive transfer ends the team turn only if no active action slots remain.</t>
  </si>
  <si>
    <t>Turn progression</t>
  </si>
  <si>
    <t>A turn with no actions still counts toward the opening turn sequence.</t>
  </si>
  <si>
    <t>X. Battle End</t>
  </si>
  <si>
    <t>The battle-ending condition takes priority over remaining actions and slots.</t>
  </si>
  <si>
    <t>Victory objective</t>
  </si>
  <si>
    <t>Defeat the opposing team's main character to win.</t>
  </si>
  <si>
    <t>XI. Skill Cooldown</t>
  </si>
  <si>
    <t>Definition</t>
  </si>
  <si>
    <t>Each character tracks a separate remaining cooldown for each skill, measured in global turns. One team's turn counts as one global turn. Remaining cooldown cannot fall below 0.</t>
  </si>
  <si>
    <t>Initialization and use</t>
  </si>
  <si>
    <t>At battle initialization and whenever skill use is committed, set remaining cooldown to the applicable cooldown duration. On use, assign cooldown before resolving the skill's effects and effects triggered by that use.</t>
  </si>
  <si>
    <t>Readiness and reuse</t>
  </si>
  <si>
    <t>At 0 remaining cooldown, a skill is ready and may be used through a valid action slot, including again in the same owning-team turn. Normal usage conditions, AP costs, negative-AP rules and slot consumption still apply.</t>
  </si>
  <si>
    <t>XII. Skill Cooldown Recovery</t>
  </si>
  <si>
    <t>Default timing</t>
  </si>
  <si>
    <t>Each team's first default recovery occurs at the beginning of its first team turn. From then on, that team receives default recovery once at the beginning of every global turn, including the opponent's turns, before initial slot assignment.</t>
  </si>
  <si>
    <t>Default amount and scope</t>
  </si>
  <si>
    <t>Unless explicitly modified, each default recovery reduces remaining cooldown by 1 for all skills of living characters on the affected team, regardless of AP or action eligibility. Turns without actions still count; additional actions or slots do not trigger additional recovery.</t>
  </si>
  <si>
    <t>Modifier application</t>
  </si>
  <si>
    <t>Resolve modifiers in their defined effect order and specified scope. Changes to remaining cooldown apply immediately, including before a team's first turn; reductions stop at 0 and excess recovery is discarded. Changes to cooldown duration or default recovery affect subsequent uses or recovery events respectively, unless explicitly stated otherwise.</t>
  </si>
  <si>
    <t>Action independence</t>
  </si>
  <si>
    <t>Recovery grants no action slot or AP and does not bypass slot-transfer restrictions. Each subsequent skill use assigns cooldown again; earlier recovery does not carry over to that new cooldown.</t>
  </si>
  <si>
    <t>Term (stat)</t>
  </si>
  <si>
    <t>Symbol</t>
  </si>
  <si>
    <t>Unit</t>
  </si>
  <si>
    <t>Formula</t>
  </si>
  <si>
    <t>HP (Health Points)</t>
  </si>
  <si>
    <t>HP</t>
  </si>
  <si>
    <t>Points</t>
  </si>
  <si>
    <t>MAX_HP = T_B_HP × (1 + T_HP_MOD)</t>
  </si>
  <si>
    <t>The character's health. Current HP decreases when taking damage; the character is defeated when it reaches 0. Max HP defines the maximum health capacity.</t>
  </si>
  <si>
    <t>MP (Mana Points)</t>
  </si>
  <si>
    <t>MP</t>
  </si>
  <si>
    <t>MAX_MP = T_B_MP × (1 + T_MP_MOD)</t>
  </si>
  <si>
    <t>A resource consumed by skills that require MP. Current MP is the available amount; Max MP defines the maximum capacity.</t>
  </si>
  <si>
    <t>Attack</t>
  </si>
  <si>
    <t>ATK</t>
  </si>
  <si>
    <t>F_ATK = T_B_ATK × (1 + T_ATK_MOD)</t>
  </si>
  <si>
    <t>The character's base offensive power, used to calculate damage for attacks and skills that scale with Attack.</t>
  </si>
  <si>
    <t>Defense</t>
  </si>
  <si>
    <t>DEF</t>
  </si>
  <si>
    <t>F_DEF = T_B_DEF × (1 + T_DEF_MOD)</t>
  </si>
  <si>
    <t>The character's ability to reduce incoming damage from normal attacks, according to the normal attack damage formula. Does not apply to skill damage.</t>
  </si>
  <si>
    <t>Skill Attack</t>
  </si>
  <si>
    <t>SATK</t>
  </si>
  <si>
    <t>F_SATK = T_B_SATK × (1 + T_SATK_MOD)</t>
  </si>
  <si>
    <t>The character's offensive power used to calculate damage for skills that scale with Skill Attack. Does not apply to normal attack damage.</t>
  </si>
  <si>
    <t>Skill Defense</t>
  </si>
  <si>
    <t>SDEF</t>
  </si>
  <si>
    <t>F_SDEF = T_B_SDEF × (1 + T_SDEF_MOD)</t>
  </si>
  <si>
    <t>The character's ability to reduce incoming skill damage, according to the applicable skill damage formula.</t>
  </si>
  <si>
    <t>AP (Action Points)</t>
  </si>
  <si>
    <t>AP_after = AP_before + AP_gained - AP_spent</t>
  </si>
  <si>
    <t>The character's current action resource. At least 100 AP is required to receive an action slot. Action costs and modifiers change AP, which may become negative.</t>
  </si>
  <si>
    <t>AP Recovery</t>
  </si>
  <si>
    <t>APR</t>
  </si>
  <si>
    <t>F_APR = T_B_APR × (1 + T_APR_MOD)</t>
  </si>
  <si>
    <t>The amount of AP the character normally recovers at the beginning of their team's turn, before initial action slots are assigned.</t>
  </si>
  <si>
    <t>Skill Point</t>
  </si>
  <si>
    <t>SP</t>
  </si>
  <si>
    <t>A resource spent to increase a skill's level.</t>
  </si>
  <si>
    <t>Critical Hit Chance</t>
  </si>
  <si>
    <t>CHC</t>
  </si>
  <si>
    <t>%</t>
  </si>
  <si>
    <t>F_CHC = T_B_CHC × (1 + T_CHC_MOD)</t>
  </si>
  <si>
    <t>The probability that an eligible hit becomes a critical hit.</t>
  </si>
  <si>
    <t>Critical Damage Bonus</t>
  </si>
  <si>
    <t>CDB</t>
  </si>
  <si>
    <t>F_CDB = T_B_CDB × (1 + T_CDB_MOD)</t>
  </si>
  <si>
    <t>The additional damage dealt by a critical hit compared with an equivalent non-critical hit. A 50% bonus means 150% of normal damage.</t>
  </si>
  <si>
    <t>Multi-Hit Rate</t>
  </si>
  <si>
    <t>MHR</t>
  </si>
  <si>
    <t>F_MHR = T_B_MHR × (1 + T_MHR_MOD)</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</si>
  <si>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t>
  </si>
  <si>
    <t>Accuracy</t>
  </si>
  <si>
    <t>ACC</t>
  </si>
  <si>
    <t>F_ACC = T_B_ACC × (1 + T_ACC_MOD)</t>
  </si>
  <si>
    <t>The character's accuracy percentage, combined with the target's Evasion to calculate the final hit chance.</t>
  </si>
  <si>
    <t>Evasion</t>
  </si>
  <si>
    <t>EVA</t>
  </si>
  <si>
    <t>F_EVA = T_B_EVA × (1 + T_EVA_MOD)</t>
  </si>
  <si>
    <t>The character's evasion percentage, combined with the attacker's Accuracy to calculate the final hit chance.</t>
  </si>
  <si>
    <t>Healing Amplification</t>
  </si>
  <si>
    <t>HA</t>
  </si>
  <si>
    <t>F_HA = T_B_HA × (1 + T_HA_MOD)</t>
  </si>
  <si>
    <t>Increases healing and HP regeneration received. Defaults to 0%. Base contributions stack additively. A final value of 20% increases healing received by 20%.</t>
  </si>
  <si>
    <t>Stat Effectiveness</t>
  </si>
  <si>
    <t>SE</t>
  </si>
  <si>
    <t>F_SE = T_B_SE × (1 + T_SE_MOD)</t>
  </si>
  <si>
    <t>A multiplier applied to Total Stats to determine their Final values. It does not multiply itself. A value of 100% leaves values unchanged; 120% multiplies them by 1.2.</t>
  </si>
  <si>
    <t>Penetration Chance</t>
  </si>
  <si>
    <t>PEN</t>
  </si>
  <si>
    <t>F_PEN = T_B_PEN × (1 + T_PEN_MOD)</t>
  </si>
  <si>
    <t>The chance for each landed normal-attack hit to ignore the target's Defense entirely. Roll independently for each hit. Does not apply to skills.</t>
  </si>
  <si>
    <t>Term (mechanic)</t>
  </si>
  <si>
    <t>Roll Value</t>
  </si>
  <si>
    <t>R</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</si>
  <si>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</si>
  <si>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</si>
  <si>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</si>
  <si>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</si>
  <si>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</si>
  <si>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</si>
  <si>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</si>
  <si>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</si>
  <si>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</si>
  <si>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</si>
  <si>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</si>
  <si>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</si>
  <si>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</si>
  <si>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</si>
  <si>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</si>
  <si>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</si>
  <si>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</si>
  <si>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</si>
  <si>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</si>
  <si>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</si>
  <si>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</si>
  <si>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</si>
  <si>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</si>
  <si>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</si>
  <si>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Damage</t>
  </si>
  <si>
    <t>DMG</t>
  </si>
  <si>
    <t>DMG = Attacker.F_ATK × (1 − MIT)</t>
  </si>
  <si>
    <t>The actual damage received from a normal attack after mitigation is applied.</t>
  </si>
  <si>
    <t>Mitigation</t>
  </si>
  <si>
    <t>MIT</t>
  </si>
  <si>
    <t>MIT = Target.F_DEF / (Target.F_DEF + K)</t>
  </si>
  <si>
    <t>The percentage of incoming normal attack damage prevented. For example, 40% Mitigation means the character receives 60% of the incoming normal attack damage.</t>
  </si>
  <si>
    <t>Skill Damage</t>
  </si>
  <si>
    <t>SDMG</t>
  </si>
  <si>
    <t>SDMG = Attacker.F_SATK × (1 − SMIT)</t>
  </si>
  <si>
    <t>The actual damage received from a skill after skill mitigation is applied.</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</si>
  <si>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</si>
  <si>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</si>
  <si>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</si>
  <si>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</si>
  <si>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</si>
  <si>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</si>
  <si>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</si>
  <si>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Term (general)</t>
  </si>
  <si>
    <t>Stat</t>
  </si>
  <si>
    <t>X</t>
  </si>
  <si>
    <t>Depends on stat</t>
  </si>
  <si>
    <t>A numerical attribute or parameter that describes a property of a character, item, or skill and is used to determine gameplay outcomes.</t>
  </si>
  <si>
    <t>Character Base Stat</t>
  </si>
  <si>
    <t>C_B_X</t>
  </si>
  <si>
    <t>Same as X</t>
  </si>
  <si>
    <t>The original value of a stat belonging to a character, before contributions from items, skills, or other sources and before any modifiers are applied.</t>
  </si>
  <si>
    <t>Item Base Stat</t>
  </si>
  <si>
    <t>I_B_X</t>
  </si>
  <si>
    <t>The original value of a stat belonging to an item, before any modifiers are applied.</t>
  </si>
  <si>
    <t>Skill Base Stat</t>
  </si>
  <si>
    <t>S_B_X</t>
  </si>
  <si>
    <t>The original value of a stat belonging to a skill, before any modifiers are applied.</t>
  </si>
  <si>
    <t>Total Base Stat</t>
  </si>
  <si>
    <t>T_B_X</t>
  </si>
  <si>
    <t>T_B_X = Σ Base Contributions</t>
  </si>
  <si>
    <t>The sum of all base contributions to the same stat type from characters, items, skills, and other applicable sources.</t>
  </si>
  <si>
    <t>Total Stat</t>
  </si>
  <si>
    <t>T_X</t>
  </si>
  <si>
    <t>T_X = T_B_X + T_INC_X</t>
  </si>
  <si>
    <t>The combined value of a stat before Stat Effectiveness is applied.</t>
  </si>
  <si>
    <t>Final Stat</t>
  </si>
  <si>
    <t>F_X</t>
  </si>
  <si>
    <t>F_X = T_X × SE</t>
  </si>
  <si>
    <t>The resulting value of a stat after Stat Effectiveness is applied to its Total Stat. Stat Effectiveness itself is excluded from this multiplication.</t>
  </si>
  <si>
    <t>Increased Stat</t>
  </si>
  <si>
    <t>INC_X</t>
  </si>
  <si>
    <t>INC_X = T_B_X × X_MOD</t>
  </si>
  <si>
    <t>The amount added to or subtracted from a stat, calculated by multiplying its Total Base Stat by the applicable percentage modifier.</t>
  </si>
  <si>
    <t>Character Increased Stat</t>
  </si>
  <si>
    <t>C_INC_X</t>
  </si>
  <si>
    <t>C_INC_X = T_B_X × C_X_MOD</t>
  </si>
  <si>
    <t>The amount added to or subtracted from a stat by character-sourced percentage modifiers, calculated using its Total Base Stat.</t>
  </si>
  <si>
    <t>Item Increased Stat</t>
  </si>
  <si>
    <t>I_INC_X</t>
  </si>
  <si>
    <t>I_INC_X = T_B_X × I_X_MOD</t>
  </si>
  <si>
    <t>The amount added to or subtracted from a stat by item-sourced percentage modifiers, calculated using its Total Base Stat, not the item's own Base Stat.</t>
  </si>
  <si>
    <t>Skill Increased Stat</t>
  </si>
  <si>
    <t>S_INC_X</t>
  </si>
  <si>
    <t>S_INC_X = T_B_X × S_X_MOD</t>
  </si>
  <si>
    <t>The amount added to or subtracted from a stat by skill-sourced percentage modifiers, calculated using its Total Base Stat.</t>
  </si>
  <si>
    <t>Total Increased Stat</t>
  </si>
  <si>
    <t>T_INC_X</t>
  </si>
  <si>
    <t>T_INC_X = Σ Increased Contributions = T_B_X × T_X_MOD</t>
  </si>
  <si>
    <t>The sum of all increases and decreases to the same stat type, calculated from its Total Base Stat and applicable percentage modifiers.</t>
  </si>
  <si>
    <t>Modifier</t>
  </si>
  <si>
    <t>MOD</t>
  </si>
  <si>
    <t>A percentage adjustment that increases or decreases a specified reference value.</t>
  </si>
  <si>
    <t>Stat Modifier</t>
  </si>
  <si>
    <t>X_MOD</t>
  </si>
  <si>
    <t>A percentage adjustment applied to the Total Base Stat of the same stat type. Its source does not change the reference value.</t>
  </si>
  <si>
    <t>Character Stat Modifier</t>
  </si>
  <si>
    <t>C_X_MOD</t>
  </si>
  <si>
    <t>A Stat Modifier provided by a character, applied to the Total Base Stat of the same stat type.</t>
  </si>
  <si>
    <t>Item Stat Modifier</t>
  </si>
  <si>
    <t>I_X_MOD</t>
  </si>
  <si>
    <t>A Stat Modifier provided by an item, applied to the Total Base Stat of the same stat type, not the item's own Base Stat.</t>
  </si>
  <si>
    <t>Skill Stat Modifier</t>
  </si>
  <si>
    <t>S_X_MOD</t>
  </si>
  <si>
    <t>A Stat Modifier provided by a skill, applied to the Total Base Stat of the same stat type.</t>
  </si>
  <si>
    <t>Total Stat Modifier</t>
  </si>
  <si>
    <t>T_X_MOD</t>
  </si>
  <si>
    <t>T_X_MOD = Σ Applicable Stat Modifiers</t>
  </si>
  <si>
    <t>The sum of all applicable Stat Modifiers for the same stat type. Modifiers stack additively, not multiplicatively.</t>
  </si>
  <si>
    <t>Trigger</t>
  </si>
  <si>
    <t>TRG</t>
  </si>
  <si>
    <t>N/A</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</si>
  <si>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</si>
  <si>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</si>
  <si>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</si>
  <si>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</si>
  <si>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F_SP = C_B_SP + T_SP_BONUS</t>
  </si>
  <si>
    <t>The character's total skill-point budget: base skill points plus total flat bonuses from applicable sources.</t>
  </si>
  <si>
    <t>Base Skill Level</t>
  </si>
  <si>
    <t>B_SL</t>
  </si>
  <si>
    <t>Levels</t>
  </si>
  <si>
    <t>B_SL = Allocated Skill Points</t>
  </si>
  <si>
    <t>The level of an individual skill obtained through allocation. Each allocated skill point grants 1 base skill level, subject to its allocation limit. Total points allocated across skills cannot exceed F_SP.</t>
  </si>
  <si>
    <t>Skill Level</t>
  </si>
  <si>
    <t>SL</t>
  </si>
  <si>
    <t>F_SL = B_SL + T_SL_BONUS</t>
  </si>
  <si>
    <t>The effective level of an individual skill: allocated base level plus total flat level bonuses. Bonus levels consume no skill points and may exceed the base allocation limit.</t>
  </si>
  <si>
    <t>Stun Threshold</t>
  </si>
  <si>
    <t>STH</t>
  </si>
  <si>
    <t>Stacks</t>
  </si>
  <si>
    <t>F_STH = T_B_STH × (1 + T_STH_MOD)</t>
  </si>
  <si>
    <t>The number of Stun Count stacks required to stun the character.</t>
  </si>
  <si>
    <t>Dummy Character</t>
  </si>
  <si>
    <t>Total base stat</t>
  </si>
  <si>
    <t>Total base characer stat</t>
  </si>
  <si>
    <t>base character CP</t>
  </si>
  <si>
    <t>Total base item stat</t>
  </si>
  <si>
    <t>base Item CP</t>
  </si>
  <si>
    <t>CP per stat</t>
  </si>
  <si>
    <t>Total CP</t>
  </si>
  <si>
    <t>Skill</t>
  </si>
  <si>
    <t>Mana cost</t>
  </si>
  <si>
    <t>Cooldown</t>
  </si>
  <si>
    <t>Stat at SL 10</t>
  </si>
  <si>
    <t>Dummy special hit</t>
  </si>
  <si>
    <t>deal damage with skill</t>
  </si>
  <si>
    <t>Skill attack</t>
  </si>
  <si>
    <t>SATK = K*SL*0.48</t>
  </si>
  <si>
    <t>Stun count</t>
  </si>
  <si>
    <t>Stun count +1</t>
  </si>
  <si>
    <t>Penetration chance</t>
  </si>
  <si>
    <t xml:space="preserve">Stun Threshold  </t>
  </si>
  <si>
    <t>Attack stun count</t>
  </si>
  <si>
    <t>Skill Points</t>
  </si>
  <si>
    <t>Total</t>
  </si>
  <si>
    <t>CP per item</t>
  </si>
  <si>
    <t>K =1000</t>
  </si>
  <si>
    <t>Balanced Dummy CP Calculation</t>
  </si>
  <si>
    <t>1. Reference Conditions</t>
  </si>
  <si>
    <r>
      <t>1 HP = 1 CP.</t>
    </r>
    <r>
      <rPr>
        <sz val="11"/>
        <color theme="1"/>
        <rFont val="Calibri"/>
        <charset val="134"/>
        <scheme val="minor"/>
      </rPr>
      <t xml:space="preserve"> MP uses the same CP value as HP.</t>
    </r>
  </si>
  <si>
    <r>
      <t xml:space="preserve">HP: </t>
    </r>
    <r>
      <rPr>
        <b/>
        <sz val="11"/>
        <color theme="1"/>
        <rFont val="Calibri"/>
        <charset val="134"/>
        <scheme val="minor"/>
      </rPr>
      <t>40,000</t>
    </r>
    <r>
      <rPr>
        <sz val="11"/>
        <color theme="1"/>
        <rFont val="Calibri"/>
        <charset val="134"/>
        <scheme val="minor"/>
      </rPr>
      <t>.</t>
    </r>
  </si>
  <si>
    <r>
      <t xml:space="preserve">Attack: </t>
    </r>
    <r>
      <rPr>
        <b/>
        <sz val="11"/>
        <color theme="1"/>
        <rFont val="Calibri"/>
        <charset val="134"/>
        <scheme val="minor"/>
      </rPr>
      <t>2,000</t>
    </r>
    <r>
      <rPr>
        <sz val="11"/>
        <color theme="1"/>
        <rFont val="Calibri"/>
        <charset val="134"/>
        <scheme val="minor"/>
      </rPr>
      <t>.</t>
    </r>
  </si>
  <si>
    <r>
      <t xml:space="preserve">Defense and Skill Defense: </t>
    </r>
    <r>
      <rPr>
        <b/>
        <sz val="11"/>
        <color theme="1"/>
        <rFont val="Calibri"/>
        <charset val="134"/>
        <scheme val="minor"/>
      </rPr>
      <t>1,000</t>
    </r>
    <r>
      <rPr>
        <sz val="11"/>
        <color theme="1"/>
        <rFont val="Calibri"/>
        <charset val="134"/>
        <scheme val="minor"/>
      </rPr>
      <t xml:space="preserve"> each.</t>
    </r>
  </si>
  <si>
    <r>
      <t xml:space="preserve">Power Constant, K: </t>
    </r>
    <r>
      <rPr>
        <b/>
        <sz val="11"/>
        <color theme="1"/>
        <rFont val="Calibri"/>
        <charset val="134"/>
        <scheme val="minor"/>
      </rPr>
      <t>1,000</t>
    </r>
    <r>
      <rPr>
        <sz val="11"/>
        <color theme="1"/>
        <rFont val="Calibri"/>
        <charset val="134"/>
        <scheme val="minor"/>
      </rPr>
      <t>.</t>
    </r>
  </si>
  <si>
    <r>
      <t xml:space="preserve">Skill Attack: </t>
    </r>
    <r>
      <rPr>
        <b/>
        <sz val="11"/>
        <color theme="1"/>
        <rFont val="Calibri"/>
        <charset val="134"/>
        <scheme val="minor"/>
      </rPr>
      <t>4,800</t>
    </r>
    <r>
      <rPr>
        <sz val="11"/>
        <color theme="1"/>
        <rFont val="Calibri"/>
        <charset val="134"/>
        <scheme val="minor"/>
      </rPr>
      <t>.</t>
    </r>
  </si>
  <si>
    <r>
      <t xml:space="preserve">Reference rotation: </t>
    </r>
    <r>
      <rPr>
        <b/>
        <sz val="11"/>
        <color theme="1"/>
        <rFont val="Calibri"/>
        <charset val="134"/>
        <scheme val="minor"/>
      </rPr>
      <t>one normal attack followed by one skill</t>
    </r>
    <r>
      <rPr>
        <sz val="11"/>
        <color theme="1"/>
        <rFont val="Calibri"/>
        <charset val="134"/>
        <scheme val="minor"/>
      </rPr>
      <t>.</t>
    </r>
  </si>
  <si>
    <r>
      <t xml:space="preserve">Accuracy: </t>
    </r>
    <r>
      <rPr>
        <b/>
        <sz val="11"/>
        <color theme="1"/>
        <rFont val="Calibri"/>
        <charset val="134"/>
        <scheme val="minor"/>
      </rPr>
      <t>100%</t>
    </r>
    <r>
      <rPr>
        <sz val="11"/>
        <color theme="1"/>
        <rFont val="Calibri"/>
        <charset val="134"/>
        <scheme val="minor"/>
      </rPr>
      <t xml:space="preserve">; Evasion: </t>
    </r>
    <r>
      <rPr>
        <b/>
        <sz val="11"/>
        <color theme="1"/>
        <rFont val="Calibri"/>
        <charset val="134"/>
        <scheme val="minor"/>
      </rPr>
      <t>0%</t>
    </r>
    <r>
      <rPr>
        <sz val="11"/>
        <color theme="1"/>
        <rFont val="Calibri"/>
        <charset val="134"/>
        <scheme val="minor"/>
      </rPr>
      <t>.</t>
    </r>
  </si>
  <si>
    <t>Multi-Hit, Penetration, and Critical Hits apply only to normal attacks.</t>
  </si>
  <si>
    <t>Penetration and Critical Hit checks are independent and may both succeed on the same hit.</t>
  </si>
  <si>
    <t>When evaluating a stat, change only that stat and keep all other values fixed.</t>
  </si>
  <si>
    <t>2. Reference Average Damage</t>
  </si>
  <si>
    <t>Normal attack mitigation:</t>
  </si>
  <si>
    <t>MIT = Defense / (Defense + K) = 50%</t>
  </si>
  <si>
    <t>Expected damage per normal hit, including Penetration:</t>
  </si>
  <si>
    <t>2,000 × [(1 − 20%) × (1 − 50%) + 20%] = 1,200</t>
  </si>
  <si>
    <t>Expected Critical Hit multiplier:</t>
  </si>
  <si>
    <t>1 + Critical Hit Chance × Critical Damage Bonus = 1.2</t>
  </si>
  <si>
    <t>Average damage per normal attack:</t>
  </si>
  <si>
    <t>Normal Damage = 1,200 × 1.2 × 1.2 Multi-Hit Rate = 1,728</t>
  </si>
  <si>
    <t>Skill damage:</t>
  </si>
  <si>
    <t>Skill Damage = 4,800 × (1 − 50%) = 2,400</t>
  </si>
  <si>
    <t>Average mixed damage per acting-team turn:</t>
  </si>
  <si>
    <t>Mixed Damage = (1,728 + 2,400) / 2 = 2,064</t>
  </si>
  <si>
    <t>This reference represents the established alternating rotation, excluding initial cooldown delays.</t>
  </si>
  <si>
    <t>3. CP Conversion Rules</t>
  </si>
  <si>
    <t>Offensive stats</t>
  </si>
  <si>
    <t>Convert the relative increase in average mixed damage into an equivalent HP-based CP value:</t>
  </si>
  <si>
    <t>CP Gain = 40,000 × (Mixed Damage Gain / 2,064)</t>
  </si>
  <si>
    <t>Defensive stats</t>
  </si>
  <si>
    <t>Convert increased durability into the additional HP required to provide equivalent durability at the original damage level:</t>
  </si>
  <si>
    <t>Equivalent HP = 40,000 × (2,064 / New Incoming Mixed Damage − 1)</t>
  </si>
  <si>
    <r>
      <t xml:space="preserve">Since </t>
    </r>
    <r>
      <rPr>
        <b/>
        <sz val="11"/>
        <color theme="1"/>
        <rFont val="Calibri"/>
        <charset val="134"/>
        <scheme val="minor"/>
      </rPr>
      <t>1 HP = 1 CP</t>
    </r>
    <r>
      <rPr>
        <sz val="11"/>
        <color theme="1"/>
        <rFont val="Calibri"/>
        <charset val="134"/>
        <scheme val="minor"/>
      </rPr>
      <t>, Equivalent HP equals CP Gain.</t>
    </r>
  </si>
  <si>
    <r>
      <t xml:space="preserve">For percentage stats, each pricing unit means </t>
    </r>
    <r>
      <rPr>
        <b/>
        <sz val="11"/>
        <color theme="1"/>
        <rFont val="Calibri"/>
        <charset val="134"/>
        <scheme val="minor"/>
      </rPr>
      <t>one percentage point</t>
    </r>
    <r>
      <rPr>
        <sz val="11"/>
        <color theme="1"/>
        <rFont val="Calibri"/>
        <charset val="134"/>
        <scheme val="minor"/>
      </rPr>
      <t>, such as an increase from 20% to 21%.</t>
    </r>
  </si>
  <si>
    <t>4. CP per Stat</t>
  </si>
  <si>
    <t>Calculation Logic</t>
  </si>
  <si>
    <t>Selected CP per Stat</t>
  </si>
  <si>
    <t>The reference unit used to price combat effectiveness.</t>
  </si>
  <si>
    <t>1 per point</t>
  </si>
  <si>
    <t>Assigned the same CP value as HP by convention.</t>
  </si>
  <si>
    <t>+1 Attack adds 0.864 average normal-attack damage, or 0.432 mixed damage. CP = 40,000 × 0.432 / 2,064 ≈ 8.37.</t>
  </si>
  <si>
    <t>8.4 per point</t>
  </si>
  <si>
    <t>+1 Defense reduces incoming mixed damage from 2,064 to approximately 2,063.7121, equivalent to approximately 5.58 additional HP. Penetrating hits ignore Defense.</t>
  </si>
  <si>
    <t>5.6 per point</t>
  </si>
  <si>
    <t>+1 Skill Defense reduces incoming mixed damage to approximately 2,063.4003, equivalent to approximately 11.63 additional HP.</t>
  </si>
  <si>
    <t>11.6 per point</t>
  </si>
  <si>
    <t>+1 percentage point adds 7.2 average mixed damage, worth approximately 139.53 CP. This prices direct damage; additional stun interactions are evaluated separately.</t>
  </si>
  <si>
    <t>140 per percentage point</t>
  </si>
  <si>
    <t>+1 percentage point adds 7.2 average mixed damage by increasing the chance for normal hits to ignore Defense completely.</t>
  </si>
  <si>
    <t>At 100% Critical Damage Bonus, +1 percentage point adds 7.2 average mixed damage.</t>
  </si>
  <si>
    <t>At 20% Critical Hit Chance, +1 percentage point adds 1.44 average mixed damage, worth approximately 27.91 CP.</t>
  </si>
  <si>
    <t>28 per percentage point</t>
  </si>
  <si>
    <t>Priced by potential AP utilization. Increasing AP Recovery from 100 to 200 doubles potential damage output. Each additional point represents 1% of reference output.</t>
  </si>
  <si>
    <t>400 per point</t>
  </si>
  <si>
    <t>Simulate an increase from 4 to 5 against an opponent applying 1 Stun Count per landed normal hit. Average the change in final HP advantage across both initiative orders: approximately 1,123.77 HP.</t>
  </si>
  <si>
    <t>1,125 per point at 4 → 5</t>
  </si>
  <si>
    <t>Attack Stun Count</t>
  </si>
  <si>
    <t>Simulate an increase from 0 to 1 per landed normal hit against an opponent with Stun Threshold 4 and no stun application. Average final HP advantage increases by approximately 4,790.74.</t>
  </si>
  <si>
    <t>4,800 for 0 → 1</t>
  </si>
  <si>
    <t>10 SP provide 4,800 Skill Attack. Each additional SP adds 480 Skill Attack, producing 240 additional skill damage and 120 additional mixed damage. CP ≈ 2,325.58.</t>
  </si>
  <si>
    <t>2,326 per point</t>
  </si>
  <si>
    <t>Assigned the same CP value as Evasion by convention. Actual effectiveness depends on the target’s Evasion and Accuracy-reducing effects.</t>
  </si>
  <si>
    <t>168 per percentage point</t>
  </si>
  <si>
    <t>Increasing Evasion from 0% to 1% reduces incoming mixed damage from 2,064 to 2,055.36, equivalent to approximately 168.15 additional HP.</t>
  </si>
  <si>
    <t>Assume a reference heal restoring 2,400 HP at the same frequency as the damaging skill. +1 percentage point adds 24 HP per heal, averaging 12 HP per turn. Price this symmetrically with damage amplification: approximately 232.56 CP.</t>
  </si>
  <si>
    <t>233 per percentage point</t>
  </si>
  <si>
    <t>5. Special Valuation Assumptions</t>
  </si>
  <si>
    <t>Stun</t>
  </si>
  <si>
    <t>A stun applied on global turn 1 expires at the start of global turn 3.</t>
  </si>
  <si>
    <t>Stun Count resets when stun activates.</t>
  </si>
  <si>
    <t>Stunned characters cannot gain additional Stun Count.</t>
  </si>
  <si>
    <t>Only landed normal hits apply Attack Stun Count; skills do not.</t>
  </si>
  <si>
    <t>Simulations use 100,000 trials per initiative order.</t>
  </si>
  <si>
    <t>CP is estimated from the change in mean final HP advantage, rather than a direct increase in maximum HP.</t>
  </si>
  <si>
    <t>The CP value assumes sufficient opportunities to spend recovered AP. Extra AP does not automatically create action slots or bypass skill cooldowns.</t>
  </si>
  <si>
    <r>
      <t xml:space="preserve">The value uses a hypothetical healing reference because the benchmark duel contains no healing. Default Healing Amplification is </t>
    </r>
    <r>
      <rPr>
        <b/>
        <sz val="11"/>
        <color theme="1"/>
        <rFont val="Calibri"/>
        <charset val="134"/>
        <scheme val="minor"/>
      </rPr>
      <t>0%</t>
    </r>
    <r>
      <rPr>
        <sz val="11"/>
        <color theme="1"/>
        <rFont val="Calibri"/>
        <charset val="134"/>
        <scheme val="minor"/>
      </rPr>
      <t>, meaning no additional healing received.</t>
    </r>
  </si>
  <si>
    <t>6. Character and Item CP</t>
  </si>
  <si>
    <t>Use the selected coefficients as a linear CP budget:</t>
  </si>
  <si>
    <t>Character CP = Character Base Stat × CP per Stat</t>
  </si>
  <si>
    <t>Item CP = Item Base Stat × CP per Stat</t>
  </si>
  <si>
    <t>Total CP = Character CP + Item CP</t>
  </si>
  <si>
    <t>For percentage values stored as decimals in Excel:</t>
  </si>
  <si>
    <t>CP = Stat Value × 100 × CP per Percentage Point</t>
  </si>
  <si>
    <t>Example:</t>
  </si>
  <si>
    <t>20% × 100 × 140 = 2,800 CP</t>
  </si>
  <si>
    <t>These coefficients are reference prices derived at the Balanced Dummy baseline. Applying them to all base stats is a budgeting convention; actual combat value may change with stat combinations, opponents, and battle duration.</t>
  </si>
  <si>
    <t>Item</t>
  </si>
  <si>
    <t>Attack Target</t>
  </si>
  <si>
    <t>Area of attack</t>
  </si>
  <si>
    <t>Item reduced Attack for sub target</t>
  </si>
  <si>
    <t>K relative</t>
  </si>
  <si>
    <t>CP per Stat Point</t>
  </si>
  <si>
    <t>CP</t>
  </si>
  <si>
    <t>Warrior weapon</t>
  </si>
  <si>
    <t>Front</t>
  </si>
  <si>
    <t>Single</t>
  </si>
  <si>
    <t>Base Attack</t>
  </si>
  <si>
    <t>Skill point</t>
  </si>
  <si>
    <t>Base AP recovery</t>
  </si>
  <si>
    <t>Destroyer weapon</t>
  </si>
  <si>
    <t>Row adjection</t>
  </si>
  <si>
    <t>Soldier weapon</t>
  </si>
  <si>
    <t>Line adjection</t>
  </si>
  <si>
    <t>Base critical hit chance</t>
  </si>
  <si>
    <t xml:space="preserve">Base AP recovery </t>
  </si>
  <si>
    <t>Ranger weapon</t>
  </si>
  <si>
    <t>Any</t>
  </si>
  <si>
    <t>Base Multi hit rate</t>
  </si>
  <si>
    <t>Penetrator weapon</t>
  </si>
  <si>
    <t>Full line</t>
  </si>
  <si>
    <t>Subtarget 1: -50%. Sub target 2: -75%</t>
  </si>
  <si>
    <t>Base Penetration chance</t>
  </si>
  <si>
    <t>Devastator weapon</t>
  </si>
  <si>
    <t>Cross</t>
  </si>
  <si>
    <t>Base Stun Count</t>
  </si>
  <si>
    <t>Caster weapon</t>
  </si>
  <si>
    <t>Body armour</t>
  </si>
  <si>
    <t>Base Defense</t>
  </si>
  <si>
    <t>Base HP</t>
  </si>
  <si>
    <t>Accessory</t>
  </si>
  <si>
    <t>Base MP</t>
  </si>
  <si>
    <t>Rune Enhancement</t>
  </si>
  <si>
    <t>Base Skill Defense</t>
  </si>
  <si>
    <t>Shield</t>
  </si>
  <si>
    <t>Focus</t>
  </si>
  <si>
    <t>Ammunition</t>
  </si>
  <si>
    <t>Base Critical damage bonus</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</si>
  <si>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</si>
  <si>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r>
      <t xml:space="preserve">Attack Target determines which enemies may be selected as the primary target: </t>
    </r>
    <r>
      <rPr>
        <b/>
        <sz val="11"/>
        <color theme="1"/>
        <rFont val="Calibri"/>
        <charset val="134"/>
        <scheme val="minor"/>
      </rPr>
      <t>Front</t>
    </r>
    <r>
      <rPr>
        <sz val="11"/>
        <color theme="1"/>
        <rFont val="Calibri"/>
        <charset val="134"/>
        <scheme val="minor"/>
      </rPr>
      <t xml:space="preserve"> allows only the frontmost living enemy in each column, while </t>
    </r>
    <r>
      <rPr>
        <b/>
        <sz val="11"/>
        <color theme="1"/>
        <rFont val="Calibri"/>
        <charset val="134"/>
        <scheme val="minor"/>
      </rPr>
      <t>Any</t>
    </r>
    <r>
      <rPr>
        <sz val="11"/>
        <color theme="1"/>
        <rFont val="Calibri"/>
        <charset val="134"/>
        <scheme val="minor"/>
      </rPr>
      <t xml:space="preserve"> allows any living enemy, including protected enemies and the main character. </t>
    </r>
  </si>
  <si>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</si>
  <si>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The primary target uses 100% Attack; each secondary target uses the listed Attack modifier before its own mitigation is calculated—for example, −50% means 50% Attack and −25% means 75% Attack</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</si>
  <si>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</si>
  <si>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</si>
  <si>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</si>
  <si>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Status</t>
  </si>
  <si>
    <t>Default Duration</t>
  </si>
  <si>
    <t>Effect</t>
  </si>
  <si>
    <t>Rage</t>
  </si>
  <si>
    <t>Increases Attack.</t>
  </si>
  <si>
    <t>Calm</t>
  </si>
  <si>
    <t>Increases Skill Attack.</t>
  </si>
  <si>
    <t>Fortify</t>
  </si>
  <si>
    <t>Increases Defense.</t>
  </si>
  <si>
    <t>Resistance</t>
  </si>
  <si>
    <t>Increases Skill Defense.</t>
  </si>
  <si>
    <t>Intimidated</t>
  </si>
  <si>
    <t>Reduces Attack.</t>
  </si>
  <si>
    <t>Weaken</t>
  </si>
  <si>
    <t>Reduces Skill Attack.</t>
  </si>
  <si>
    <t>Sunder</t>
  </si>
  <si>
    <t>Reduces Defense.</t>
  </si>
  <si>
    <t>Exposure</t>
  </si>
  <si>
    <t>Reduces Skill Defense.</t>
  </si>
  <si>
    <t>Haste</t>
  </si>
  <si>
    <t>Increases AP Recovery.</t>
  </si>
  <si>
    <t>Slow</t>
  </si>
  <si>
    <t>Reduces AP Recovery.</t>
  </si>
  <si>
    <t>Onslaught</t>
  </si>
  <si>
    <t>Increases Multi-Hit Rate.</t>
  </si>
  <si>
    <t>Falter</t>
  </si>
  <si>
    <t>Reduces Multi-Hit Rate.</t>
  </si>
  <si>
    <t>Blind</t>
  </si>
  <si>
    <t>Reduces Accuracy.</t>
  </si>
  <si>
    <t>Grants a temporary shield that absorbs damage.</t>
  </si>
  <si>
    <t>Damage over Time</t>
  </si>
  <si>
    <t>Deals damage at the start of each global turn.</t>
  </si>
  <si>
    <t>Prevents receiving action slots and performing voluntary actions, including attacks, defending, swaps, and active skills. Sets Character Base AP Recovery to 0. Passive skills remain usable.</t>
  </si>
  <si>
    <t>Stun Count</t>
  </si>
  <si>
    <t>Has no direct effect. Reaching Stun Threshold triggers Stun. Stun Count resets to 0 and cannot increase while stunned.</t>
  </si>
  <si>
    <t>The number of Stun Count stacks required to trigger Stun.</t>
  </si>
  <si>
    <t>Immobilized</t>
  </si>
  <si>
    <t>Prevents receiving action slots and performing voluntary actions, including attacks, defending, swaps, and active skills. Passive skills remain usable.</t>
  </si>
  <si>
    <t>Chill</t>
  </si>
  <si>
    <t>Reduces AP Recovery and Multi-Hit Rate.</t>
  </si>
  <si>
    <t>Break</t>
  </si>
  <si>
    <t>Disables passive skills.</t>
  </si>
  <si>
    <t>Silence</t>
  </si>
  <si>
    <t>Prevents using active skills.</t>
  </si>
  <si>
    <t>Disarm</t>
  </si>
  <si>
    <t>Prevents normal attacks.</t>
  </si>
  <si>
    <t>Immunity</t>
  </si>
  <si>
    <t>Grants immunity to negative statuses.</t>
  </si>
  <si>
    <t>Invincible</t>
  </si>
  <si>
    <t>Grants immunity to all damage and negative statuses.</t>
  </si>
  <si>
    <t>Invisible</t>
  </si>
  <si>
    <t>Prevents being targeted.</t>
  </si>
  <si>
    <t>Madness</t>
  </si>
  <si>
    <t>Allows the character to act, but prevents manual control.</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</si>
</sst>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_ * #,##0.0_ ;_ * \-#,##0.0_ ;_ * &quot;-&quot;??.0_ ;_ @_ "/>
    <numFmt numFmtId="180" formatCode="_ * #,##0.00_ ;_ * \-#,##0.00_ ;_ * &quot;-&quot;??.00_ ;_ @_ "/>
  </numFmts>
  <fonts count="23">
    <font>
      <sz val="11"/>
      <color theme="1"/>
      <name val="Calibri"/>
      <charset val="134"/>
      <scheme val="minor"/>
    </font>
    <font>
      <b/>
      <sz val="11"/>
      <color theme="1"/>
      <name val="Calibri"/>
      <charset val="134"/>
      <scheme val="minor"/>
    </font>
    <font>
      <b/>
      <sz val="18"/>
      <color theme="1"/>
      <name val="Calibri"/>
      <charset val="134"/>
      <scheme val="minor"/>
    </font>
    <font>
      <b/>
      <sz val="14.05"/>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5"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6" applyNumberFormat="0" applyFill="0" applyAlignment="0" applyProtection="0">
      <alignment vertical="center"/>
    </xf>
    <xf numFmtId="0" fontId="10" fillId="0" borderId="6" applyNumberFormat="0" applyFill="0" applyAlignment="0" applyProtection="0">
      <alignment vertical="center"/>
    </xf>
    <xf numFmtId="0" fontId="11" fillId="0" borderId="7" applyNumberFormat="0" applyFill="0" applyAlignment="0" applyProtection="0">
      <alignment vertical="center"/>
    </xf>
    <xf numFmtId="0" fontId="11" fillId="0" borderId="0" applyNumberFormat="0" applyFill="0" applyBorder="0" applyAlignment="0" applyProtection="0">
      <alignment vertical="center"/>
    </xf>
    <xf numFmtId="0" fontId="12" fillId="3" borderId="8" applyNumberFormat="0" applyAlignment="0" applyProtection="0">
      <alignment vertical="center"/>
    </xf>
    <xf numFmtId="0" fontId="13" fillId="4" borderId="9" applyNumberFormat="0" applyAlignment="0" applyProtection="0">
      <alignment vertical="center"/>
    </xf>
    <xf numFmtId="0" fontId="14" fillId="4" borderId="8" applyNumberFormat="0" applyAlignment="0" applyProtection="0">
      <alignment vertical="center"/>
    </xf>
    <xf numFmtId="0" fontId="15" fillId="5" borderId="10" applyNumberFormat="0" applyAlignment="0" applyProtection="0">
      <alignment vertical="center"/>
    </xf>
    <xf numFmtId="0" fontId="16" fillId="0" borderId="11" applyNumberFormat="0" applyFill="0" applyAlignment="0" applyProtection="0">
      <alignment vertical="center"/>
    </xf>
    <xf numFmtId="0" fontId="17" fillId="0" borderId="12"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51">
    <xf numFmtId="0" fontId="0" fillId="0" borderId="0" xfId="0"/>
    <xf numFmtId="0" fontId="1" fillId="0" borderId="0" xfId="0" applyFont="1" applyAlignment="1">
      <alignment horizontal="center"/>
    </xf>
    <xf numFmtId="0" fontId="0" fillId="0" borderId="0" xfId="0" applyAlignment="1"/>
    <xf numFmtId="0" fontId="1" fillId="0" borderId="0" xfId="0" applyFont="1"/>
    <xf numFmtId="0" fontId="0" fillId="0" borderId="0" xfId="0" applyFont="1"/>
    <xf numFmtId="178" fontId="0" fillId="0" borderId="0" xfId="1" applyNumberFormat="1" applyAlignment="1"/>
    <xf numFmtId="9" fontId="0" fillId="0" borderId="0" xfId="3" applyAlignment="1"/>
    <xf numFmtId="179"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79" fontId="1" fillId="0" borderId="1" xfId="1" applyNumberFormat="1" applyFont="1" applyBorder="1" applyAlignment="1"/>
    <xf numFmtId="178" fontId="0" fillId="0" borderId="1" xfId="1" applyNumberFormat="1" applyBorder="1" applyAlignment="1">
      <alignment horizontal="left" vertical="center"/>
    </xf>
    <xf numFmtId="178" fontId="0" fillId="0" borderId="1" xfId="1" applyNumberFormat="1" applyBorder="1" applyAlignment="1">
      <alignment horizontal="center"/>
    </xf>
    <xf numFmtId="9" fontId="0" fillId="0" borderId="1" xfId="3" applyBorder="1" applyAlignment="1">
      <alignment horizontal="center"/>
    </xf>
    <xf numFmtId="178" fontId="0" fillId="0" borderId="1" xfId="1" applyNumberFormat="1" applyBorder="1" applyAlignment="1"/>
    <xf numFmtId="180" fontId="0" fillId="0" borderId="1" xfId="1" applyNumberFormat="1" applyBorder="1" applyAlignment="1"/>
    <xf numFmtId="179" fontId="0" fillId="0" borderId="1" xfId="1" applyNumberFormat="1" applyBorder="1" applyAlignment="1"/>
    <xf numFmtId="9" fontId="0" fillId="0" borderId="1" xfId="3" applyNumberFormat="1" applyBorder="1" applyAlignment="1">
      <alignment horizontal="center"/>
    </xf>
    <xf numFmtId="9" fontId="0" fillId="0" borderId="1" xfId="3" applyBorder="1" applyAlignment="1"/>
    <xf numFmtId="9" fontId="0" fillId="0" borderId="1" xfId="3" applyNumberFormat="1" applyBorder="1" applyAlignment="1"/>
    <xf numFmtId="178" fontId="0" fillId="0" borderId="1" xfId="1" applyNumberFormat="1" applyFont="1" applyBorder="1" applyAlignment="1">
      <alignment horizontal="left" vertical="center"/>
    </xf>
    <xf numFmtId="0" fontId="0" fillId="0" borderId="2" xfId="0" applyFont="1" applyBorder="1" applyAlignment="1">
      <alignment horizontal="center"/>
    </xf>
    <xf numFmtId="9" fontId="0" fillId="0" borderId="1" xfId="3" applyFont="1" applyBorder="1" applyAlignment="1">
      <alignment horizontal="center"/>
    </xf>
    <xf numFmtId="178" fontId="0" fillId="0" borderId="1" xfId="1" applyNumberFormat="1" applyFont="1" applyBorder="1" applyAlignment="1"/>
    <xf numFmtId="0" fontId="0" fillId="0" borderId="1" xfId="0" applyBorder="1"/>
    <xf numFmtId="0" fontId="0" fillId="0" borderId="3" xfId="0" applyFont="1" applyBorder="1" applyAlignment="1">
      <alignment horizontal="center"/>
    </xf>
    <xf numFmtId="0" fontId="0" fillId="0" borderId="4" xfId="0" applyFont="1" applyBorder="1" applyAlignment="1">
      <alignment horizontal="center"/>
    </xf>
    <xf numFmtId="178" fontId="0" fillId="0" borderId="1" xfId="1" applyNumberFormat="1" applyBorder="1" applyAlignment="1">
      <alignment horizontal="right"/>
    </xf>
    <xf numFmtId="9" fontId="0" fillId="0" borderId="1" xfId="3" applyNumberFormat="1" applyBorder="1" applyAlignment="1">
      <alignment horizontal="right"/>
    </xf>
    <xf numFmtId="0" fontId="1" fillId="0" borderId="0" xfId="0" applyFont="1" applyAlignment="1">
      <alignment horizontal="left"/>
    </xf>
    <xf numFmtId="178" fontId="1" fillId="0" borderId="0" xfId="1" applyNumberFormat="1" applyFont="1" applyAlignment="1">
      <alignment horizontal="left"/>
    </xf>
    <xf numFmtId="178" fontId="0" fillId="0" borderId="0" xfId="0" applyNumberFormat="1" applyFont="1"/>
    <xf numFmtId="178" fontId="0" fillId="0" borderId="0" xfId="1" applyNumberFormat="1" applyFont="1" applyAlignment="1"/>
    <xf numFmtId="178" fontId="0" fillId="0" borderId="0" xfId="0" applyNumberFormat="1"/>
    <xf numFmtId="9" fontId="0" fillId="0" borderId="0" xfId="3" applyNumberFormat="1" applyAlignment="1"/>
    <xf numFmtId="9" fontId="0" fillId="0" borderId="0" xfId="3" applyFont="1"/>
    <xf numFmtId="178" fontId="1" fillId="0" borderId="0" xfId="0" applyNumberFormat="1" applyFont="1"/>
    <xf numFmtId="0" fontId="2" fillId="0" borderId="0" xfId="0" applyFont="1" applyAlignment="1"/>
    <xf numFmtId="0" fontId="0" fillId="0" borderId="0" xfId="0" applyAlignment="1"/>
    <xf numFmtId="0" fontId="3" fillId="0" borderId="0" xfId="0" applyFont="1" applyAlignment="1"/>
    <xf numFmtId="0" fontId="1" fillId="0" borderId="0" xfId="0" applyFont="1" applyAlignment="1">
      <alignment horizontal="left" indent="1"/>
    </xf>
    <xf numFmtId="0" fontId="0" fillId="0" borderId="0" xfId="0" applyAlignment="1">
      <alignment horizontal="left" indent="1"/>
    </xf>
    <xf numFmtId="0" fontId="1" fillId="0" borderId="0" xfId="0" applyFont="1" applyAlignment="1"/>
    <xf numFmtId="0" fontId="1" fillId="0" borderId="0" xfId="0" applyFont="1" applyAlignment="1">
      <alignment horizontal="center"/>
    </xf>
    <xf numFmtId="0" fontId="3" fillId="0" borderId="0" xfId="0" applyFont="1"/>
    <xf numFmtId="0" fontId="1" fillId="0" borderId="0" xfId="0" applyFont="1"/>
    <xf numFmtId="0" fontId="0" fillId="0" borderId="0" xfId="0" applyAlignment="1">
      <alignment horizontal="left" indent="1"/>
    </xf>
    <xf numFmtId="0" fontId="1" fillId="0" borderId="0" xfId="0" applyFont="1" applyAlignment="1">
      <alignment horizontal="center" wrapText="1"/>
    </xf>
    <xf numFmtId="0" fontId="0" fillId="0" borderId="1" xfId="0" applyBorder="1"/>
    <xf numFmtId="0" fontId="0" fillId="0" borderId="0" xfId="0"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www.wps.cn/officeDocument/2023/relationships/customStorage" Target="customStorage/customStorage.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B9" sqref="B9"/>
    </sheetView>
  </sheetViews>
  <sheetFormatPr defaultColWidth="9" defaultRowHeight="15" outlineLevelCol="1"/>
  <cols>
    <col min="1" max="1" width="16.2857142857143"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A39" sqref="A39"/>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3"/>
  <sheetViews>
    <sheetView topLeftCell="A42" workbookViewId="0">
      <selection activeCell="A3" sqref="A3:C21"/>
    </sheetView>
  </sheetViews>
  <sheetFormatPr defaultColWidth="9.14285714285714" defaultRowHeight="15" outlineLevelCol="2"/>
  <cols>
    <col min="1" max="1" width="29.2857142857143" customWidth="1"/>
    <col min="2" max="2" width="30.5714285714286" customWidth="1"/>
    <col min="3" max="3" width="161.714285714286" customWidth="1"/>
  </cols>
  <sheetData>
    <row r="1" ht="61" customHeight="1" spans="1:3">
      <c r="A1" s="48" t="s">
        <v>25</v>
      </c>
      <c r="B1" s="48"/>
      <c r="C1" s="48"/>
    </row>
    <row r="3" spans="1:3">
      <c r="A3" s="49" t="s">
        <v>26</v>
      </c>
      <c r="B3" s="49" t="s">
        <v>27</v>
      </c>
      <c r="C3" s="49" t="s">
        <v>28</v>
      </c>
    </row>
    <row r="4" spans="1:3">
      <c r="A4" s="49" t="s">
        <v>29</v>
      </c>
      <c r="B4" s="49" t="s">
        <v>30</v>
      </c>
      <c r="C4" s="49" t="s">
        <v>31</v>
      </c>
    </row>
    <row r="5" spans="1:3">
      <c r="A5" s="49" t="s">
        <v>29</v>
      </c>
      <c r="B5" s="49" t="s">
        <v>32</v>
      </c>
      <c r="C5" s="49" t="s">
        <v>33</v>
      </c>
    </row>
    <row r="6" spans="1:3">
      <c r="A6" s="49" t="s">
        <v>29</v>
      </c>
      <c r="B6" s="49" t="s">
        <v>34</v>
      </c>
      <c r="C6" s="49" t="s">
        <v>35</v>
      </c>
    </row>
    <row r="7" spans="1:3">
      <c r="A7" s="49" t="s">
        <v>36</v>
      </c>
      <c r="B7" s="49" t="s">
        <v>37</v>
      </c>
      <c r="C7" s="49" t="s">
        <v>38</v>
      </c>
    </row>
    <row r="8" spans="1:3">
      <c r="A8" s="49" t="s">
        <v>36</v>
      </c>
      <c r="B8" s="49" t="s">
        <v>39</v>
      </c>
      <c r="C8" s="49" t="s">
        <v>40</v>
      </c>
    </row>
    <row r="9" spans="1:3">
      <c r="A9" s="49" t="s">
        <v>41</v>
      </c>
      <c r="B9" s="49" t="s">
        <v>42</v>
      </c>
      <c r="C9" s="49" t="s">
        <v>43</v>
      </c>
    </row>
    <row r="10" spans="1:3">
      <c r="A10" s="49" t="s">
        <v>41</v>
      </c>
      <c r="B10" s="49" t="s">
        <v>44</v>
      </c>
      <c r="C10" s="49" t="s">
        <v>45</v>
      </c>
    </row>
    <row r="11" spans="1:3">
      <c r="A11" s="49" t="s">
        <v>41</v>
      </c>
      <c r="B11" s="49" t="s">
        <v>46</v>
      </c>
      <c r="C11" s="49" t="s">
        <v>47</v>
      </c>
    </row>
    <row r="12" spans="1:3">
      <c r="A12" s="49" t="s">
        <v>41</v>
      </c>
      <c r="B12" s="49" t="s">
        <v>48</v>
      </c>
      <c r="C12" s="49" t="s">
        <v>49</v>
      </c>
    </row>
    <row r="13" spans="1:3">
      <c r="A13" s="49" t="s">
        <v>41</v>
      </c>
      <c r="B13" s="49" t="s">
        <v>50</v>
      </c>
      <c r="C13" s="49" t="s">
        <v>51</v>
      </c>
    </row>
    <row r="14" spans="1:3">
      <c r="A14" s="49" t="s">
        <v>41</v>
      </c>
      <c r="B14" s="49" t="s">
        <v>52</v>
      </c>
      <c r="C14" s="49" t="s">
        <v>53</v>
      </c>
    </row>
    <row r="15" spans="1:3">
      <c r="A15" s="49" t="s">
        <v>54</v>
      </c>
      <c r="B15" s="49" t="s">
        <v>55</v>
      </c>
      <c r="C15" s="49" t="s">
        <v>56</v>
      </c>
    </row>
    <row r="16" spans="1:3">
      <c r="A16" s="49" t="s">
        <v>54</v>
      </c>
      <c r="B16" s="49" t="s">
        <v>57</v>
      </c>
      <c r="C16" s="49" t="s">
        <v>58</v>
      </c>
    </row>
    <row r="17" spans="1:3">
      <c r="A17" s="49" t="s">
        <v>54</v>
      </c>
      <c r="B17" s="49" t="s">
        <v>59</v>
      </c>
      <c r="C17" s="49" t="s">
        <v>60</v>
      </c>
    </row>
    <row r="18" spans="1:3">
      <c r="A18" s="49" t="s">
        <v>61</v>
      </c>
      <c r="B18" s="49" t="s">
        <v>62</v>
      </c>
      <c r="C18" s="49" t="s">
        <v>63</v>
      </c>
    </row>
    <row r="19" spans="1:3">
      <c r="A19" s="49" t="s">
        <v>61</v>
      </c>
      <c r="B19" s="49" t="s">
        <v>64</v>
      </c>
      <c r="C19" s="49" t="s">
        <v>65</v>
      </c>
    </row>
    <row r="20" spans="1:3">
      <c r="A20" s="49" t="s">
        <v>61</v>
      </c>
      <c r="B20" s="49" t="s">
        <v>66</v>
      </c>
      <c r="C20" s="49" t="s">
        <v>67</v>
      </c>
    </row>
    <row r="21" spans="1:3">
      <c r="A21" s="49" t="s">
        <v>61</v>
      </c>
      <c r="B21" s="49" t="s">
        <v>68</v>
      </c>
      <c r="C21" s="49" t="s">
        <v>69</v>
      </c>
    </row>
    <row r="22" spans="1:3">
      <c r="A22" s="49" t="s">
        <v>61</v>
      </c>
      <c r="B22" s="49" t="s">
        <v>70</v>
      </c>
      <c r="C22" s="49" t="s">
        <v>71</v>
      </c>
    </row>
    <row r="23" spans="1:3">
      <c r="A23" s="49" t="s">
        <v>61</v>
      </c>
      <c r="B23" s="49" t="s">
        <v>72</v>
      </c>
      <c r="C23" t="s">
        <v>73</v>
      </c>
    </row>
    <row r="24" spans="1:3">
      <c r="A24" s="49" t="s">
        <v>61</v>
      </c>
      <c r="B24" s="49" t="s">
        <v>74</v>
      </c>
      <c r="C24" s="49" t="s">
        <v>75</v>
      </c>
    </row>
    <row r="25" spans="1:3">
      <c r="A25" s="49" t="s">
        <v>76</v>
      </c>
      <c r="B25" s="49" t="s">
        <v>77</v>
      </c>
      <c r="C25" s="49" t="s">
        <v>78</v>
      </c>
    </row>
    <row r="26" spans="1:3">
      <c r="A26" s="49" t="s">
        <v>76</v>
      </c>
      <c r="B26" s="49" t="s">
        <v>79</v>
      </c>
      <c r="C26" s="49" t="s">
        <v>80</v>
      </c>
    </row>
    <row r="27" spans="1:3">
      <c r="A27" s="49" t="s">
        <v>81</v>
      </c>
      <c r="B27" s="49" t="s">
        <v>82</v>
      </c>
      <c r="C27" s="49" t="s">
        <v>83</v>
      </c>
    </row>
    <row r="28" spans="1:3">
      <c r="A28" s="49" t="s">
        <v>81</v>
      </c>
      <c r="B28" s="49" t="s">
        <v>84</v>
      </c>
      <c r="C28" s="49" t="s">
        <v>85</v>
      </c>
    </row>
    <row r="29" spans="1:3">
      <c r="A29" s="49" t="s">
        <v>86</v>
      </c>
      <c r="B29" s="49" t="s">
        <v>82</v>
      </c>
      <c r="C29" s="49" t="s">
        <v>87</v>
      </c>
    </row>
    <row r="30" spans="1:3">
      <c r="A30" s="49" t="s">
        <v>86</v>
      </c>
      <c r="B30" s="49" t="s">
        <v>84</v>
      </c>
      <c r="C30" s="49" t="s">
        <v>88</v>
      </c>
    </row>
    <row r="31" spans="1:3">
      <c r="A31" s="49" t="s">
        <v>89</v>
      </c>
      <c r="B31" s="49" t="s">
        <v>82</v>
      </c>
      <c r="C31" s="49" t="s">
        <v>90</v>
      </c>
    </row>
    <row r="32" spans="1:3">
      <c r="A32" s="49" t="s">
        <v>89</v>
      </c>
      <c r="B32" s="49" t="s">
        <v>91</v>
      </c>
      <c r="C32" s="49" t="s">
        <v>92</v>
      </c>
    </row>
    <row r="33" spans="1:3">
      <c r="A33" s="49" t="s">
        <v>89</v>
      </c>
      <c r="B33" s="49" t="s">
        <v>93</v>
      </c>
      <c r="C33" s="49" t="s">
        <v>94</v>
      </c>
    </row>
    <row r="34" spans="1:3">
      <c r="A34" s="49" t="s">
        <v>89</v>
      </c>
      <c r="B34" s="49" t="s">
        <v>95</v>
      </c>
      <c r="C34" s="49" t="s">
        <v>96</v>
      </c>
    </row>
    <row r="35" spans="1:3">
      <c r="A35" s="49" t="s">
        <v>89</v>
      </c>
      <c r="B35" s="49" t="s">
        <v>97</v>
      </c>
      <c r="C35" s="49" t="s">
        <v>98</v>
      </c>
    </row>
    <row r="36" spans="1:3">
      <c r="A36" s="49" t="s">
        <v>99</v>
      </c>
      <c r="B36" s="49" t="s">
        <v>82</v>
      </c>
      <c r="C36" s="49" t="s">
        <v>100</v>
      </c>
    </row>
    <row r="37" spans="1:3">
      <c r="A37" s="49" t="s">
        <v>99</v>
      </c>
      <c r="B37" s="49" t="s">
        <v>101</v>
      </c>
      <c r="C37" s="49" t="s">
        <v>102</v>
      </c>
    </row>
    <row r="38" spans="1:3">
      <c r="A38" s="49" t="s">
        <v>99</v>
      </c>
      <c r="B38" s="49" t="s">
        <v>103</v>
      </c>
      <c r="C38" s="49" t="s">
        <v>104</v>
      </c>
    </row>
    <row r="39" spans="1:3">
      <c r="A39" s="49" t="s">
        <v>99</v>
      </c>
      <c r="B39" s="49" t="s">
        <v>105</v>
      </c>
      <c r="C39" s="49" t="s">
        <v>106</v>
      </c>
    </row>
    <row r="40" spans="1:3">
      <c r="A40" s="49" t="s">
        <v>99</v>
      </c>
      <c r="B40" s="49" t="s">
        <v>107</v>
      </c>
      <c r="C40" t="s">
        <v>108</v>
      </c>
    </row>
    <row r="41" spans="1:3">
      <c r="A41" s="49" t="s">
        <v>99</v>
      </c>
      <c r="B41" s="49" t="s">
        <v>109</v>
      </c>
      <c r="C41" t="s">
        <v>110</v>
      </c>
    </row>
    <row r="42" spans="1:3">
      <c r="A42" s="49" t="s">
        <v>99</v>
      </c>
      <c r="B42" s="49" t="s">
        <v>111</v>
      </c>
      <c r="C42" t="s">
        <v>112</v>
      </c>
    </row>
    <row r="43" spans="1:3">
      <c r="A43" s="49" t="s">
        <v>113</v>
      </c>
      <c r="B43" s="49" t="s">
        <v>82</v>
      </c>
      <c r="C43" s="49" t="s">
        <v>114</v>
      </c>
    </row>
    <row r="44" spans="1:3">
      <c r="A44" s="49" t="s">
        <v>113</v>
      </c>
      <c r="B44" s="49" t="s">
        <v>84</v>
      </c>
      <c r="C44" s="49" t="s">
        <v>115</v>
      </c>
    </row>
    <row r="45" spans="1:3">
      <c r="A45" s="49" t="s">
        <v>113</v>
      </c>
      <c r="B45" s="49" t="s">
        <v>116</v>
      </c>
      <c r="C45" s="49" t="s">
        <v>117</v>
      </c>
    </row>
    <row r="46" spans="1:3">
      <c r="A46" s="49" t="s">
        <v>118</v>
      </c>
      <c r="B46" s="49" t="s">
        <v>119</v>
      </c>
      <c r="C46" s="49" t="s">
        <v>120</v>
      </c>
    </row>
    <row r="47" spans="1:3">
      <c r="A47" s="49" t="s">
        <v>118</v>
      </c>
      <c r="B47" s="49" t="s">
        <v>121</v>
      </c>
      <c r="C47" s="49" t="s">
        <v>122</v>
      </c>
    </row>
    <row r="48" spans="1:3">
      <c r="A48" s="49" t="s">
        <v>118</v>
      </c>
      <c r="B48" s="49" t="s">
        <v>123</v>
      </c>
      <c r="C48" s="49" t="s">
        <v>124</v>
      </c>
    </row>
    <row r="49" spans="1:3">
      <c r="A49" s="49" t="s">
        <v>118</v>
      </c>
      <c r="B49" s="49" t="s">
        <v>125</v>
      </c>
      <c r="C49" s="49" t="s">
        <v>126</v>
      </c>
    </row>
    <row r="50" spans="1:3">
      <c r="A50" s="49" t="s">
        <v>118</v>
      </c>
      <c r="B50" s="49" t="s">
        <v>127</v>
      </c>
      <c r="C50" s="49" t="s">
        <v>128</v>
      </c>
    </row>
    <row r="51" spans="1:3">
      <c r="A51" s="49" t="s">
        <v>129</v>
      </c>
      <c r="B51" s="49" t="s">
        <v>130</v>
      </c>
      <c r="C51" s="49" t="s">
        <v>131</v>
      </c>
    </row>
    <row r="52" spans="1:3">
      <c r="A52" s="49" t="s">
        <v>132</v>
      </c>
      <c r="B52" s="49" t="s">
        <v>133</v>
      </c>
      <c r="C52" s="49" t="s">
        <v>134</v>
      </c>
    </row>
    <row r="53" spans="1:3">
      <c r="A53" s="49" t="s">
        <v>132</v>
      </c>
      <c r="B53" s="49" t="s">
        <v>135</v>
      </c>
      <c r="C53" t="s">
        <v>136</v>
      </c>
    </row>
    <row r="54" spans="1:3">
      <c r="A54" s="49" t="s">
        <v>132</v>
      </c>
      <c r="B54" s="49" t="s">
        <v>137</v>
      </c>
      <c r="C54" s="49" t="s">
        <v>138</v>
      </c>
    </row>
    <row r="55" spans="1:3">
      <c r="A55" s="49" t="s">
        <v>139</v>
      </c>
      <c r="B55" s="49" t="s">
        <v>64</v>
      </c>
      <c r="C55" s="49" t="s">
        <v>140</v>
      </c>
    </row>
    <row r="56" spans="1:3">
      <c r="A56" t="s">
        <v>139</v>
      </c>
      <c r="B56" t="s">
        <v>141</v>
      </c>
      <c r="C56" t="s">
        <v>142</v>
      </c>
    </row>
    <row r="57" spans="1:3">
      <c r="A57" s="50" t="s">
        <v>143</v>
      </c>
      <c r="B57" s="50" t="s">
        <v>144</v>
      </c>
      <c r="C57" s="50" t="s">
        <v>145</v>
      </c>
    </row>
    <row r="58" ht="30" spans="1:3">
      <c r="A58" s="50" t="s">
        <v>143</v>
      </c>
      <c r="B58" s="50" t="s">
        <v>146</v>
      </c>
      <c r="C58" s="50" t="s">
        <v>147</v>
      </c>
    </row>
    <row r="59" ht="30" spans="1:3">
      <c r="A59" s="50" t="s">
        <v>143</v>
      </c>
      <c r="B59" s="50" t="s">
        <v>148</v>
      </c>
      <c r="C59" s="50" t="s">
        <v>149</v>
      </c>
    </row>
    <row r="60" ht="30" spans="1:3">
      <c r="A60" s="50" t="s">
        <v>150</v>
      </c>
      <c r="B60" s="50" t="s">
        <v>151</v>
      </c>
      <c r="C60" s="50" t="s">
        <v>152</v>
      </c>
    </row>
    <row r="61" ht="30" spans="1:3">
      <c r="A61" s="50" t="s">
        <v>150</v>
      </c>
      <c r="B61" s="50" t="s">
        <v>153</v>
      </c>
      <c r="C61" s="50" t="s">
        <v>154</v>
      </c>
    </row>
    <row r="62" ht="30" spans="1:3">
      <c r="A62" s="50" t="s">
        <v>150</v>
      </c>
      <c r="B62" s="50" t="s">
        <v>155</v>
      </c>
      <c r="C62" s="50" t="s">
        <v>156</v>
      </c>
    </row>
    <row r="63" ht="30" spans="1:3">
      <c r="A63" s="50" t="s">
        <v>150</v>
      </c>
      <c r="B63" s="50" t="s">
        <v>157</v>
      </c>
      <c r="C63" s="50" t="s">
        <v>158</v>
      </c>
    </row>
  </sheetData>
  <mergeCells count="1">
    <mergeCell ref="A1:C1"/>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9"/>
  <sheetViews>
    <sheetView zoomScale="85" zoomScaleNormal="85" topLeftCell="A28" workbookViewId="0">
      <selection activeCell="A17" sqref="A17:G17"/>
    </sheetView>
  </sheetViews>
  <sheetFormatPr defaultColWidth="9.14285714285714" defaultRowHeight="15" outlineLevelCol="4"/>
  <cols>
    <col min="1" max="1" width="22.5714285714286" customWidth="1"/>
    <col min="2" max="2" width="10.2857142857143" customWidth="1"/>
    <col min="3" max="3" width="16.5714285714286" customWidth="1"/>
    <col min="4" max="4" width="45.8571428571429" customWidth="1"/>
  </cols>
  <sheetData>
    <row r="1" spans="1:5">
      <c r="A1" t="s">
        <v>159</v>
      </c>
      <c r="B1" t="s">
        <v>160</v>
      </c>
      <c r="C1" t="s">
        <v>161</v>
      </c>
      <c r="D1" t="s">
        <v>162</v>
      </c>
      <c r="E1" t="s">
        <v>144</v>
      </c>
    </row>
    <row r="2" spans="1:5">
      <c r="A2" t="s">
        <v>163</v>
      </c>
      <c r="B2" t="s">
        <v>164</v>
      </c>
      <c r="C2" t="s">
        <v>165</v>
      </c>
      <c r="D2" t="s">
        <v>166</v>
      </c>
      <c r="E2" t="s">
        <v>167</v>
      </c>
    </row>
    <row r="3" spans="1:5">
      <c r="A3" t="s">
        <v>168</v>
      </c>
      <c r="B3" t="s">
        <v>169</v>
      </c>
      <c r="C3" t="s">
        <v>165</v>
      </c>
      <c r="D3" t="s">
        <v>170</v>
      </c>
      <c r="E3" t="s">
        <v>171</v>
      </c>
    </row>
    <row r="4" spans="1:5">
      <c r="A4" t="s">
        <v>172</v>
      </c>
      <c r="B4" t="s">
        <v>173</v>
      </c>
      <c r="C4" t="s">
        <v>165</v>
      </c>
      <c r="D4" t="s">
        <v>174</v>
      </c>
      <c r="E4" t="s">
        <v>175</v>
      </c>
    </row>
    <row r="5" spans="1:5">
      <c r="A5" t="s">
        <v>176</v>
      </c>
      <c r="B5" t="s">
        <v>177</v>
      </c>
      <c r="C5" t="s">
        <v>165</v>
      </c>
      <c r="D5" t="s">
        <v>178</v>
      </c>
      <c r="E5" t="s">
        <v>179</v>
      </c>
    </row>
    <row r="6" spans="1:5">
      <c r="A6" t="s">
        <v>180</v>
      </c>
      <c r="B6" t="s">
        <v>181</v>
      </c>
      <c r="C6" t="s">
        <v>165</v>
      </c>
      <c r="D6" t="s">
        <v>182</v>
      </c>
      <c r="E6" t="s">
        <v>183</v>
      </c>
    </row>
    <row r="7" spans="1:5">
      <c r="A7" t="s">
        <v>184</v>
      </c>
      <c r="B7" t="s">
        <v>185</v>
      </c>
      <c r="C7" t="s">
        <v>165</v>
      </c>
      <c r="D7" t="s">
        <v>186</v>
      </c>
      <c r="E7" t="s">
        <v>187</v>
      </c>
    </row>
    <row r="8" spans="1:5">
      <c r="A8" t="s">
        <v>188</v>
      </c>
      <c r="B8" t="s">
        <v>34</v>
      </c>
      <c r="C8" t="s">
        <v>165</v>
      </c>
      <c r="D8" t="s">
        <v>189</v>
      </c>
      <c r="E8" t="s">
        <v>190</v>
      </c>
    </row>
    <row r="9" spans="1:5">
      <c r="A9" t="s">
        <v>191</v>
      </c>
      <c r="B9" t="s">
        <v>192</v>
      </c>
      <c r="C9" t="s">
        <v>165</v>
      </c>
      <c r="D9" t="s">
        <v>193</v>
      </c>
      <c r="E9" t="s">
        <v>194</v>
      </c>
    </row>
    <row r="10" spans="1:5">
      <c r="A10" t="s">
        <v>195</v>
      </c>
      <c r="B10" t="s">
        <v>196</v>
      </c>
      <c r="C10" t="s">
        <v>165</v>
      </c>
      <c r="E10" t="s">
        <v>197</v>
      </c>
    </row>
    <row r="11" spans="1:5">
      <c r="A11" t="s">
        <v>198</v>
      </c>
      <c r="B11" t="s">
        <v>199</v>
      </c>
      <c r="C11" t="s">
        <v>200</v>
      </c>
      <c r="D11" t="s">
        <v>201</v>
      </c>
      <c r="E11" t="s">
        <v>202</v>
      </c>
    </row>
    <row r="12" spans="1:5">
      <c r="A12" t="s">
        <v>203</v>
      </c>
      <c r="B12" t="s">
        <v>204</v>
      </c>
      <c r="C12" t="s">
        <v>200</v>
      </c>
      <c r="D12" t="s">
        <v>205</v>
      </c>
      <c r="E12" t="s">
        <v>206</v>
      </c>
    </row>
    <row r="13" spans="1:5">
      <c r="A13" t="s">
        <v>207</v>
      </c>
      <c r="B13" t="s">
        <v>208</v>
      </c>
      <c r="C13" t="s">
        <v>200</v>
      </c>
      <c r="D13" t="s">
        <v>209</v>
      </c>
      <c r="E13" t="s">
        <v>210</v>
      </c>
    </row>
    <row r="14" spans="1:5">
      <c r="A14" t="s">
        <v>211</v>
      </c>
      <c r="B14" t="s">
        <v>212</v>
      </c>
      <c r="C14" t="s">
        <v>200</v>
      </c>
      <c r="D14" t="s">
        <v>213</v>
      </c>
      <c r="E14" t="s">
        <v>214</v>
      </c>
    </row>
    <row r="15" spans="1:5">
      <c r="A15" t="s">
        <v>215</v>
      </c>
      <c r="B15" t="s">
        <v>216</v>
      </c>
      <c r="C15" t="s">
        <v>200</v>
      </c>
      <c r="D15" t="s">
        <v>217</v>
      </c>
      <c r="E15" t="s">
        <v>218</v>
      </c>
    </row>
    <row r="16" spans="1:5">
      <c r="A16" s="2" t="s">
        <v>219</v>
      </c>
      <c r="B16" s="2" t="s">
        <v>220</v>
      </c>
      <c r="C16" s="2" t="s">
        <v>200</v>
      </c>
      <c r="D16" s="2" t="s">
        <v>221</v>
      </c>
      <c r="E16" s="2" t="s">
        <v>222</v>
      </c>
    </row>
    <row r="17" spans="1:5">
      <c r="A17" t="s">
        <v>223</v>
      </c>
      <c r="B17" t="s">
        <v>224</v>
      </c>
      <c r="C17" t="s">
        <v>200</v>
      </c>
      <c r="D17" t="s">
        <v>225</v>
      </c>
      <c r="E17" t="s">
        <v>226</v>
      </c>
    </row>
    <row r="18" spans="1:5">
      <c r="A18" s="2" t="s">
        <v>227</v>
      </c>
      <c r="B18" s="2" t="s">
        <v>228</v>
      </c>
      <c r="C18" s="2" t="s">
        <v>200</v>
      </c>
      <c r="D18" s="2" t="s">
        <v>229</v>
      </c>
      <c r="E18" s="2" t="s">
        <v>230</v>
      </c>
    </row>
    <row r="19" spans="1:5">
      <c r="A19" s="2"/>
      <c r="B19" s="2"/>
      <c r="C19" s="2"/>
      <c r="D19" s="2"/>
      <c r="E19" s="2"/>
    </row>
    <row r="20" spans="1:5">
      <c r="A20" t="s">
        <v>231</v>
      </c>
      <c r="B20" t="s">
        <v>160</v>
      </c>
      <c r="C20" t="s">
        <v>161</v>
      </c>
      <c r="D20" t="s">
        <v>162</v>
      </c>
      <c r="E20" t="s">
        <v>144</v>
      </c>
    </row>
    <row r="21" spans="1:5">
      <c r="A21" t="s">
        <v>232</v>
      </c>
      <c r="B21" t="s">
        <v>233</v>
      </c>
      <c r="C21" t="s">
        <v>200</v>
      </c>
      <c r="D21" t="s">
        <v>234</v>
      </c>
      <c r="E21" t="s">
        <v>235</v>
      </c>
    </row>
    <row r="22" spans="1:5">
      <c r="A22" t="s">
        <v>236</v>
      </c>
      <c r="B22" t="s">
        <v>237</v>
      </c>
      <c r="C22" t="s">
        <v>238</v>
      </c>
      <c r="D22" t="s">
        <v>239</v>
      </c>
      <c r="E22" t="s">
        <v>240</v>
      </c>
    </row>
    <row r="23" spans="1:5">
      <c r="A23" t="s">
        <v>241</v>
      </c>
      <c r="B23" t="s">
        <v>242</v>
      </c>
      <c r="C23" t="s">
        <v>238</v>
      </c>
      <c r="D23" t="s">
        <v>243</v>
      </c>
      <c r="E23" t="s">
        <v>244</v>
      </c>
    </row>
    <row r="24" spans="1:5">
      <c r="A24" t="s">
        <v>245</v>
      </c>
      <c r="B24" t="s">
        <v>246</v>
      </c>
      <c r="C24" t="s">
        <v>238</v>
      </c>
      <c r="D24" t="s">
        <v>247</v>
      </c>
      <c r="E24" t="s">
        <v>248</v>
      </c>
    </row>
    <row r="25" spans="1:5">
      <c r="A25" t="s">
        <v>249</v>
      </c>
      <c r="B25" t="s">
        <v>250</v>
      </c>
      <c r="C25" t="s">
        <v>251</v>
      </c>
      <c r="D25" t="s">
        <v>252</v>
      </c>
      <c r="E25" t="s">
        <v>253</v>
      </c>
    </row>
    <row r="26" spans="1:5">
      <c r="A26" t="s">
        <v>254</v>
      </c>
      <c r="B26" t="s">
        <v>255</v>
      </c>
      <c r="C26" t="s">
        <v>200</v>
      </c>
      <c r="D26" t="s">
        <v>256</v>
      </c>
      <c r="E26" t="s">
        <v>257</v>
      </c>
    </row>
    <row r="27" spans="1:5">
      <c r="A27" t="s">
        <v>258</v>
      </c>
      <c r="B27" t="s">
        <v>259</v>
      </c>
      <c r="C27" t="s">
        <v>165</v>
      </c>
      <c r="D27" t="s">
        <v>260</v>
      </c>
      <c r="E27" t="s">
        <v>261</v>
      </c>
    </row>
    <row r="28" spans="1:5">
      <c r="A28" t="s">
        <v>262</v>
      </c>
      <c r="B28" t="s">
        <v>263</v>
      </c>
      <c r="C28" t="s">
        <v>200</v>
      </c>
      <c r="D28" t="s">
        <v>264</v>
      </c>
      <c r="E28" t="s">
        <v>265</v>
      </c>
    </row>
    <row r="29" spans="1:5">
      <c r="A29" t="s">
        <v>266</v>
      </c>
      <c r="B29" t="s">
        <v>267</v>
      </c>
      <c r="C29" t="s">
        <v>165</v>
      </c>
      <c r="D29" t="s">
        <v>268</v>
      </c>
      <c r="E29" t="s">
        <v>269</v>
      </c>
    </row>
    <row r="30" spans="1:5">
      <c r="A30" t="s">
        <v>270</v>
      </c>
      <c r="B30" t="s">
        <v>271</v>
      </c>
      <c r="C30" t="s">
        <v>200</v>
      </c>
      <c r="D30" t="s">
        <v>272</v>
      </c>
      <c r="E30" t="s">
        <v>273</v>
      </c>
    </row>
    <row r="31" spans="1:5">
      <c r="A31" t="s">
        <v>274</v>
      </c>
      <c r="B31" t="s">
        <v>275</v>
      </c>
      <c r="C31" t="s">
        <v>165</v>
      </c>
      <c r="E31" t="s">
        <v>276</v>
      </c>
    </row>
    <row r="35" spans="1:5">
      <c r="A35" t="s">
        <v>277</v>
      </c>
      <c r="B35" t="s">
        <v>160</v>
      </c>
      <c r="C35" t="s">
        <v>161</v>
      </c>
      <c r="D35" t="s">
        <v>162</v>
      </c>
      <c r="E35" t="s">
        <v>144</v>
      </c>
    </row>
    <row r="36" spans="1:5">
      <c r="A36" t="s">
        <v>278</v>
      </c>
      <c r="B36" t="s">
        <v>279</v>
      </c>
      <c r="C36" t="s">
        <v>280</v>
      </c>
      <c r="E36" t="s">
        <v>281</v>
      </c>
    </row>
    <row r="37" spans="1:5">
      <c r="A37" t="s">
        <v>282</v>
      </c>
      <c r="B37" t="s">
        <v>283</v>
      </c>
      <c r="C37" t="s">
        <v>284</v>
      </c>
      <c r="E37" t="s">
        <v>285</v>
      </c>
    </row>
    <row r="38" spans="1:5">
      <c r="A38" t="s">
        <v>286</v>
      </c>
      <c r="B38" t="s">
        <v>287</v>
      </c>
      <c r="C38" t="s">
        <v>284</v>
      </c>
      <c r="E38" t="s">
        <v>288</v>
      </c>
    </row>
    <row r="39" spans="1:5">
      <c r="A39" t="s">
        <v>289</v>
      </c>
      <c r="B39" t="s">
        <v>290</v>
      </c>
      <c r="C39" t="s">
        <v>284</v>
      </c>
      <c r="E39" t="s">
        <v>291</v>
      </c>
    </row>
    <row r="40" spans="1:5">
      <c r="A40" t="s">
        <v>292</v>
      </c>
      <c r="B40" t="s">
        <v>293</v>
      </c>
      <c r="C40" t="s">
        <v>284</v>
      </c>
      <c r="D40" t="s">
        <v>294</v>
      </c>
      <c r="E40" t="s">
        <v>295</v>
      </c>
    </row>
    <row r="41" spans="1:5">
      <c r="A41" t="s">
        <v>296</v>
      </c>
      <c r="B41" t="s">
        <v>297</v>
      </c>
      <c r="C41" t="s">
        <v>284</v>
      </c>
      <c r="D41" t="s">
        <v>298</v>
      </c>
      <c r="E41" t="s">
        <v>299</v>
      </c>
    </row>
    <row r="42" spans="1:5">
      <c r="A42" t="s">
        <v>300</v>
      </c>
      <c r="B42" t="s">
        <v>301</v>
      </c>
      <c r="C42" t="s">
        <v>284</v>
      </c>
      <c r="D42" t="s">
        <v>302</v>
      </c>
      <c r="E42" t="s">
        <v>303</v>
      </c>
    </row>
    <row r="43" spans="1:5">
      <c r="A43" t="s">
        <v>304</v>
      </c>
      <c r="B43" t="s">
        <v>305</v>
      </c>
      <c r="C43" t="s">
        <v>284</v>
      </c>
      <c r="D43" t="s">
        <v>306</v>
      </c>
      <c r="E43" t="s">
        <v>307</v>
      </c>
    </row>
    <row r="44" spans="1:5">
      <c r="A44" t="s">
        <v>308</v>
      </c>
      <c r="B44" t="s">
        <v>309</v>
      </c>
      <c r="C44" t="s">
        <v>284</v>
      </c>
      <c r="D44" t="s">
        <v>310</v>
      </c>
      <c r="E44" t="s">
        <v>311</v>
      </c>
    </row>
    <row r="45" spans="1:5">
      <c r="A45" t="s">
        <v>312</v>
      </c>
      <c r="B45" t="s">
        <v>313</v>
      </c>
      <c r="C45" t="s">
        <v>284</v>
      </c>
      <c r="D45" t="s">
        <v>314</v>
      </c>
      <c r="E45" t="s">
        <v>315</v>
      </c>
    </row>
    <row r="46" spans="1:5">
      <c r="A46" t="s">
        <v>316</v>
      </c>
      <c r="B46" t="s">
        <v>317</v>
      </c>
      <c r="C46" t="s">
        <v>284</v>
      </c>
      <c r="D46" t="s">
        <v>318</v>
      </c>
      <c r="E46" t="s">
        <v>319</v>
      </c>
    </row>
    <row r="47" spans="1:5">
      <c r="A47" t="s">
        <v>320</v>
      </c>
      <c r="B47" t="s">
        <v>321</v>
      </c>
      <c r="C47" t="s">
        <v>284</v>
      </c>
      <c r="D47" t="s">
        <v>322</v>
      </c>
      <c r="E47" t="s">
        <v>323</v>
      </c>
    </row>
    <row r="48" spans="1:5">
      <c r="A48" t="s">
        <v>324</v>
      </c>
      <c r="B48" t="s">
        <v>325</v>
      </c>
      <c r="C48" t="s">
        <v>200</v>
      </c>
      <c r="E48" t="s">
        <v>326</v>
      </c>
    </row>
    <row r="49" spans="1:5">
      <c r="A49" t="s">
        <v>327</v>
      </c>
      <c r="B49" t="s">
        <v>328</v>
      </c>
      <c r="C49" t="s">
        <v>200</v>
      </c>
      <c r="E49" t="s">
        <v>329</v>
      </c>
    </row>
    <row r="50" spans="1:5">
      <c r="A50" t="s">
        <v>330</v>
      </c>
      <c r="B50" t="s">
        <v>331</v>
      </c>
      <c r="C50" t="s">
        <v>200</v>
      </c>
      <c r="E50" t="s">
        <v>332</v>
      </c>
    </row>
    <row r="51" spans="1:5">
      <c r="A51" t="s">
        <v>333</v>
      </c>
      <c r="B51" t="s">
        <v>334</v>
      </c>
      <c r="C51" t="s">
        <v>200</v>
      </c>
      <c r="E51" t="s">
        <v>335</v>
      </c>
    </row>
    <row r="52" spans="1:5">
      <c r="A52" t="s">
        <v>336</v>
      </c>
      <c r="B52" t="s">
        <v>337</v>
      </c>
      <c r="C52" t="s">
        <v>200</v>
      </c>
      <c r="E52" t="s">
        <v>338</v>
      </c>
    </row>
    <row r="53" spans="1:5">
      <c r="A53" t="s">
        <v>339</v>
      </c>
      <c r="B53" t="s">
        <v>340</v>
      </c>
      <c r="C53" t="s">
        <v>200</v>
      </c>
      <c r="D53" t="s">
        <v>341</v>
      </c>
      <c r="E53" t="s">
        <v>342</v>
      </c>
    </row>
    <row r="54" spans="1:5">
      <c r="A54" t="s">
        <v>343</v>
      </c>
      <c r="B54" t="s">
        <v>344</v>
      </c>
      <c r="C54" t="s">
        <v>345</v>
      </c>
      <c r="E54" t="s">
        <v>346</v>
      </c>
    </row>
    <row r="55" spans="1:5">
      <c r="A55" t="s">
        <v>347</v>
      </c>
      <c r="B55" t="s">
        <v>348</v>
      </c>
      <c r="C55" t="s">
        <v>200</v>
      </c>
      <c r="E55" t="s">
        <v>349</v>
      </c>
    </row>
    <row r="56" spans="1:5">
      <c r="A56" s="2" t="s">
        <v>195</v>
      </c>
      <c r="B56" s="2" t="s">
        <v>196</v>
      </c>
      <c r="C56" s="2" t="s">
        <v>165</v>
      </c>
      <c r="D56" s="2" t="s">
        <v>350</v>
      </c>
      <c r="E56" s="2" t="s">
        <v>351</v>
      </c>
    </row>
    <row r="57" spans="1:5">
      <c r="A57" s="2" t="s">
        <v>352</v>
      </c>
      <c r="B57" s="2" t="s">
        <v>353</v>
      </c>
      <c r="C57" s="2" t="s">
        <v>354</v>
      </c>
      <c r="D57" s="2" t="s">
        <v>355</v>
      </c>
      <c r="E57" s="2" t="s">
        <v>356</v>
      </c>
    </row>
    <row r="58" spans="1:5">
      <c r="A58" s="2" t="s">
        <v>357</v>
      </c>
      <c r="B58" s="2" t="s">
        <v>358</v>
      </c>
      <c r="C58" s="2" t="s">
        <v>354</v>
      </c>
      <c r="D58" s="2" t="s">
        <v>359</v>
      </c>
      <c r="E58" s="2" t="s">
        <v>360</v>
      </c>
    </row>
    <row r="59" spans="1:5">
      <c r="A59" s="2" t="s">
        <v>361</v>
      </c>
      <c r="B59" s="2" t="s">
        <v>362</v>
      </c>
      <c r="C59" s="2" t="s">
        <v>363</v>
      </c>
      <c r="D59" s="2" t="s">
        <v>364</v>
      </c>
      <c r="E59" s="2" t="s">
        <v>365</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21"/>
  <sheetViews>
    <sheetView workbookViewId="0">
      <selection activeCell="D38" sqref="D38"/>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18.8571428571429" customWidth="1"/>
    <col min="11" max="11" width="8.85714285714286" customWidth="1"/>
    <col min="12" max="12" width="11.4285714285714" customWidth="1"/>
    <col min="13" max="13" width="11.5714285714286" customWidth="1"/>
    <col min="14" max="14" width="23.7142857142857" customWidth="1"/>
    <col min="15" max="15" width="12.1428571428571" customWidth="1"/>
    <col min="16" max="16" width="16.1428571428571" customWidth="1"/>
    <col min="17" max="17" width="12.1428571428571" customWidth="1"/>
  </cols>
  <sheetData>
    <row r="1" s="30" customFormat="1" spans="1:17">
      <c r="A1" s="30" t="s">
        <v>366</v>
      </c>
      <c r="B1" s="31" t="s">
        <v>367</v>
      </c>
      <c r="C1" s="31" t="s">
        <v>368</v>
      </c>
      <c r="D1" s="31" t="s">
        <v>369</v>
      </c>
      <c r="E1" s="31" t="s">
        <v>370</v>
      </c>
      <c r="F1" s="30" t="s">
        <v>371</v>
      </c>
      <c r="G1" s="30" t="s">
        <v>372</v>
      </c>
      <c r="H1" s="30" t="s">
        <v>373</v>
      </c>
      <c r="J1" t="s">
        <v>374</v>
      </c>
      <c r="K1" s="5" t="s">
        <v>82</v>
      </c>
      <c r="L1" s="5" t="s">
        <v>375</v>
      </c>
      <c r="M1" s="5" t="s">
        <v>376</v>
      </c>
      <c r="N1" s="5" t="s">
        <v>28</v>
      </c>
      <c r="O1" s="5" t="s">
        <v>278</v>
      </c>
      <c r="P1" t="s">
        <v>162</v>
      </c>
      <c r="Q1" t="s">
        <v>377</v>
      </c>
    </row>
    <row r="2" spans="1:17">
      <c r="A2" s="2" t="s">
        <v>164</v>
      </c>
      <c r="B2" s="5">
        <v>40000</v>
      </c>
      <c r="C2" s="5">
        <v>20000</v>
      </c>
      <c r="D2" s="5">
        <f>C2*G2</f>
        <v>20000</v>
      </c>
      <c r="E2" s="32">
        <f>B2-C2</f>
        <v>20000</v>
      </c>
      <c r="F2" s="33">
        <f>E2*G2</f>
        <v>20000</v>
      </c>
      <c r="G2">
        <v>1</v>
      </c>
      <c r="H2" s="34">
        <f>G2*B2</f>
        <v>40000</v>
      </c>
      <c r="J2" t="s">
        <v>378</v>
      </c>
      <c r="K2" s="5">
        <v>100</v>
      </c>
      <c r="L2" s="5" t="s">
        <v>275</v>
      </c>
      <c r="M2" s="5">
        <v>4</v>
      </c>
      <c r="N2" s="5" t="s">
        <v>379</v>
      </c>
      <c r="O2" s="5" t="s">
        <v>380</v>
      </c>
      <c r="P2" t="s">
        <v>381</v>
      </c>
      <c r="Q2" s="4">
        <f>1000*10*0.48</f>
        <v>4800</v>
      </c>
    </row>
    <row r="3" spans="1:17">
      <c r="A3" s="2" t="s">
        <v>169</v>
      </c>
      <c r="B3" s="5">
        <v>40000</v>
      </c>
      <c r="C3" s="5">
        <v>20000</v>
      </c>
      <c r="D3" s="5">
        <f>C3*G3</f>
        <v>20000</v>
      </c>
      <c r="E3" s="32">
        <f>B3-C3</f>
        <v>20000</v>
      </c>
      <c r="F3" s="33">
        <f>E3*G3</f>
        <v>20000</v>
      </c>
      <c r="G3">
        <v>1</v>
      </c>
      <c r="H3" s="34">
        <f>G3*B3</f>
        <v>40000</v>
      </c>
      <c r="O3" t="s">
        <v>382</v>
      </c>
      <c r="P3" t="s">
        <v>383</v>
      </c>
      <c r="Q3">
        <v>1</v>
      </c>
    </row>
    <row r="4" spans="1:8">
      <c r="A4" s="2" t="s">
        <v>172</v>
      </c>
      <c r="B4" s="5">
        <v>2000</v>
      </c>
      <c r="C4" s="5">
        <v>1000</v>
      </c>
      <c r="D4" s="5">
        <f>C4*G4</f>
        <v>8400</v>
      </c>
      <c r="E4" s="32">
        <f>B4-C4</f>
        <v>1000</v>
      </c>
      <c r="F4" s="33">
        <f>E4*G4</f>
        <v>8400</v>
      </c>
      <c r="G4">
        <v>8.4</v>
      </c>
      <c r="H4" s="34">
        <f>G4*B4</f>
        <v>16800</v>
      </c>
    </row>
    <row r="5" spans="1:8">
      <c r="A5" s="2" t="s">
        <v>176</v>
      </c>
      <c r="B5" s="5">
        <v>1000</v>
      </c>
      <c r="C5" s="5">
        <v>500</v>
      </c>
      <c r="D5" s="5">
        <f>C5*G5</f>
        <v>2800</v>
      </c>
      <c r="E5" s="32">
        <f>B5-C5</f>
        <v>500</v>
      </c>
      <c r="F5" s="33">
        <f>E5*G5</f>
        <v>2800</v>
      </c>
      <c r="G5">
        <v>5.6</v>
      </c>
      <c r="H5" s="34">
        <f>G5*B5</f>
        <v>5600</v>
      </c>
    </row>
    <row r="6" spans="1:8">
      <c r="A6" s="2" t="s">
        <v>184</v>
      </c>
      <c r="B6" s="5">
        <v>1000</v>
      </c>
      <c r="C6" s="5">
        <v>500</v>
      </c>
      <c r="D6" s="5">
        <f>C6*G6</f>
        <v>5800</v>
      </c>
      <c r="E6" s="32">
        <f>B6-C6</f>
        <v>500</v>
      </c>
      <c r="F6" s="33">
        <f>E6*G6</f>
        <v>5800</v>
      </c>
      <c r="G6">
        <v>11.6</v>
      </c>
      <c r="H6" s="34">
        <f>G6*B6</f>
        <v>11600</v>
      </c>
    </row>
    <row r="7" spans="1:8">
      <c r="A7" s="2" t="s">
        <v>207</v>
      </c>
      <c r="B7" s="35">
        <v>1.2</v>
      </c>
      <c r="C7" s="35">
        <v>1</v>
      </c>
      <c r="D7" s="5">
        <f>C7*G7*100</f>
        <v>14000</v>
      </c>
      <c r="E7" s="36">
        <f>B7-C7</f>
        <v>0.2</v>
      </c>
      <c r="F7" s="33">
        <f>E7*G7*100</f>
        <v>2800</v>
      </c>
      <c r="G7">
        <v>140</v>
      </c>
      <c r="H7" s="34">
        <f>G7*B7*100</f>
        <v>16800</v>
      </c>
    </row>
    <row r="8" spans="1:8">
      <c r="A8" t="s">
        <v>384</v>
      </c>
      <c r="B8" s="35">
        <v>0.2</v>
      </c>
      <c r="C8" s="35">
        <v>0</v>
      </c>
      <c r="D8" s="5">
        <f>C8*G8*100</f>
        <v>0</v>
      </c>
      <c r="E8" s="36">
        <f>B8-C8</f>
        <v>0.2</v>
      </c>
      <c r="F8" s="33">
        <f>E8*G8*100</f>
        <v>2800</v>
      </c>
      <c r="G8">
        <v>140</v>
      </c>
      <c r="H8" s="34">
        <f>G8*B8*100</f>
        <v>2800</v>
      </c>
    </row>
    <row r="9" spans="1:8">
      <c r="A9" s="2" t="s">
        <v>198</v>
      </c>
      <c r="B9" s="35">
        <v>0.2</v>
      </c>
      <c r="C9" s="35">
        <v>0</v>
      </c>
      <c r="D9" s="5">
        <f>C9*G9*100</f>
        <v>0</v>
      </c>
      <c r="E9" s="36">
        <f>B9-C9</f>
        <v>0.2</v>
      </c>
      <c r="F9" s="33">
        <f>E9*G9*100</f>
        <v>2800</v>
      </c>
      <c r="G9">
        <v>140</v>
      </c>
      <c r="H9" s="34">
        <f>G9*B9*100</f>
        <v>2800</v>
      </c>
    </row>
    <row r="10" spans="1:8">
      <c r="A10" s="2" t="s">
        <v>203</v>
      </c>
      <c r="B10" s="35">
        <v>1</v>
      </c>
      <c r="C10" s="35">
        <v>0.5</v>
      </c>
      <c r="D10" s="5">
        <f>C10*G10*100</f>
        <v>1400</v>
      </c>
      <c r="E10" s="36">
        <f>B10-C10</f>
        <v>0.5</v>
      </c>
      <c r="F10" s="33">
        <f>E10*G10*100</f>
        <v>1400</v>
      </c>
      <c r="G10">
        <v>28</v>
      </c>
      <c r="H10" s="34">
        <f>G10*B10*100</f>
        <v>2800</v>
      </c>
    </row>
    <row r="11" spans="1:8">
      <c r="A11" s="2" t="s">
        <v>191</v>
      </c>
      <c r="B11" s="5">
        <v>100</v>
      </c>
      <c r="C11" s="5">
        <v>100</v>
      </c>
      <c r="D11" s="5">
        <f>C11*G11</f>
        <v>40000</v>
      </c>
      <c r="E11" s="32">
        <f>B11-C11</f>
        <v>0</v>
      </c>
      <c r="F11" s="33">
        <f>E11*G11</f>
        <v>0</v>
      </c>
      <c r="G11">
        <v>400</v>
      </c>
      <c r="H11" s="34">
        <f>G11*B11</f>
        <v>40000</v>
      </c>
    </row>
    <row r="12" spans="1:8">
      <c r="A12" t="s">
        <v>385</v>
      </c>
      <c r="B12" s="5">
        <v>4</v>
      </c>
      <c r="C12" s="5">
        <v>4</v>
      </c>
      <c r="D12" s="5">
        <f>C12*G12</f>
        <v>4500</v>
      </c>
      <c r="E12" s="32">
        <f>B12-C12</f>
        <v>0</v>
      </c>
      <c r="F12" s="33">
        <f>E12*G12</f>
        <v>0</v>
      </c>
      <c r="G12">
        <v>1125</v>
      </c>
      <c r="H12" s="34">
        <f>G12*B12</f>
        <v>4500</v>
      </c>
    </row>
    <row r="13" spans="1:8">
      <c r="A13" t="s">
        <v>386</v>
      </c>
      <c r="B13" s="5">
        <v>1</v>
      </c>
      <c r="C13" s="5">
        <v>0</v>
      </c>
      <c r="D13" s="5">
        <f>C13*G13</f>
        <v>0</v>
      </c>
      <c r="E13" s="32">
        <f>B13-C13</f>
        <v>1</v>
      </c>
      <c r="F13" s="33">
        <f>E13*G13</f>
        <v>4800</v>
      </c>
      <c r="G13">
        <v>4800</v>
      </c>
      <c r="H13" s="34">
        <f>G13*B13</f>
        <v>4800</v>
      </c>
    </row>
    <row r="14" spans="1:8">
      <c r="A14" t="s">
        <v>387</v>
      </c>
      <c r="B14" s="5">
        <v>10</v>
      </c>
      <c r="C14" s="5">
        <v>10</v>
      </c>
      <c r="D14" s="5">
        <f>C14*G14</f>
        <v>23260</v>
      </c>
      <c r="E14" s="32">
        <f>B14-C14</f>
        <v>0</v>
      </c>
      <c r="F14" s="33">
        <f>E14*G14</f>
        <v>0</v>
      </c>
      <c r="G14">
        <v>2326</v>
      </c>
      <c r="H14" s="34">
        <f>G14*B14</f>
        <v>23260</v>
      </c>
    </row>
    <row r="15" spans="1:8">
      <c r="A15" s="2" t="s">
        <v>211</v>
      </c>
      <c r="B15" s="35">
        <v>1</v>
      </c>
      <c r="C15" s="35">
        <v>1</v>
      </c>
      <c r="D15" s="5">
        <f>C15*G15*100</f>
        <v>16800</v>
      </c>
      <c r="E15" s="32">
        <f>B15-C15</f>
        <v>0</v>
      </c>
      <c r="F15" s="33">
        <f>E15*G15</f>
        <v>0</v>
      </c>
      <c r="G15">
        <v>168</v>
      </c>
      <c r="H15" s="34">
        <f>G15*B15*100</f>
        <v>16800</v>
      </c>
    </row>
    <row r="16" spans="1:8">
      <c r="A16" s="2" t="s">
        <v>215</v>
      </c>
      <c r="B16" s="35">
        <v>0</v>
      </c>
      <c r="C16" s="35">
        <v>0</v>
      </c>
      <c r="D16" s="5">
        <f>C16*G16*100</f>
        <v>0</v>
      </c>
      <c r="E16" s="32">
        <f>B16-C16</f>
        <v>0</v>
      </c>
      <c r="F16" s="33">
        <f>E16*G16</f>
        <v>0</v>
      </c>
      <c r="G16">
        <v>168</v>
      </c>
      <c r="H16" s="34">
        <f>G16*B16</f>
        <v>0</v>
      </c>
    </row>
    <row r="17" spans="1:8">
      <c r="A17" s="2" t="s">
        <v>219</v>
      </c>
      <c r="B17" s="35">
        <v>0</v>
      </c>
      <c r="C17" s="35"/>
      <c r="D17" s="5">
        <f>C17*G17*100</f>
        <v>0</v>
      </c>
      <c r="E17" s="32">
        <f>B17-C17</f>
        <v>0</v>
      </c>
      <c r="F17" s="33">
        <f>E17*G17</f>
        <v>0</v>
      </c>
      <c r="G17">
        <v>233</v>
      </c>
      <c r="H17" s="34">
        <f>G17*B17</f>
        <v>0</v>
      </c>
    </row>
    <row r="18" s="3" customFormat="1" spans="1:8">
      <c r="A18" s="3" t="s">
        <v>388</v>
      </c>
      <c r="D18" s="37">
        <f>SUM(D2:D17)</f>
        <v>156960</v>
      </c>
      <c r="F18" s="37">
        <f>SUM(F2:F17)</f>
        <v>71600</v>
      </c>
      <c r="H18" s="37">
        <f>SUM(H2:H17)</f>
        <v>228560</v>
      </c>
    </row>
    <row r="19" spans="1:6">
      <c r="A19" t="s">
        <v>389</v>
      </c>
      <c r="F19" s="34">
        <f>F18/4</f>
        <v>17900</v>
      </c>
    </row>
    <row r="21" spans="1:1">
      <c r="A21" t="s">
        <v>390</v>
      </c>
    </row>
    <row r="24" ht="23.25" spans="1:1">
      <c r="A24" s="38" t="s">
        <v>391</v>
      </c>
    </row>
    <row r="25" spans="1:1">
      <c r="A25" s="39"/>
    </row>
    <row r="26" ht="18.75" spans="1:1">
      <c r="A26" s="40" t="s">
        <v>392</v>
      </c>
    </row>
    <row r="27" spans="1:1">
      <c r="A27" s="39"/>
    </row>
    <row r="28" spans="1:1">
      <c r="A28" s="41" t="s">
        <v>393</v>
      </c>
    </row>
    <row r="29" spans="1:1">
      <c r="A29" s="42" t="s">
        <v>394</v>
      </c>
    </row>
    <row r="30" spans="1:1">
      <c r="A30" s="42" t="s">
        <v>395</v>
      </c>
    </row>
    <row r="31" spans="1:1">
      <c r="A31" s="42" t="s">
        <v>396</v>
      </c>
    </row>
    <row r="32" spans="1:1">
      <c r="A32" s="42" t="s">
        <v>397</v>
      </c>
    </row>
    <row r="33" spans="1:1">
      <c r="A33" s="42" t="s">
        <v>398</v>
      </c>
    </row>
    <row r="34" spans="1:1">
      <c r="A34" s="42" t="s">
        <v>399</v>
      </c>
    </row>
    <row r="35" spans="1:1">
      <c r="A35" s="42" t="s">
        <v>400</v>
      </c>
    </row>
    <row r="36" spans="1:1">
      <c r="A36" s="42" t="s">
        <v>401</v>
      </c>
    </row>
    <row r="37" spans="1:1">
      <c r="A37" s="42" t="s">
        <v>402</v>
      </c>
    </row>
    <row r="38" spans="1:1">
      <c r="A38" s="42" t="s">
        <v>403</v>
      </c>
    </row>
    <row r="39" spans="1:1">
      <c r="A39" s="39"/>
    </row>
    <row r="40" ht="18.75" spans="1:1">
      <c r="A40" s="40" t="s">
        <v>404</v>
      </c>
    </row>
    <row r="41" spans="1:1">
      <c r="A41" s="43" t="s">
        <v>405</v>
      </c>
    </row>
    <row r="42" spans="1:1">
      <c r="A42" s="39" t="s">
        <v>406</v>
      </c>
    </row>
    <row r="43" spans="1:1">
      <c r="A43" s="39"/>
    </row>
    <row r="44" spans="1:1">
      <c r="A44" s="43" t="s">
        <v>407</v>
      </c>
    </row>
    <row r="45" spans="1:1">
      <c r="A45" s="39" t="s">
        <v>408</v>
      </c>
    </row>
    <row r="46" spans="1:1">
      <c r="A46" s="39"/>
    </row>
    <row r="47" spans="1:1">
      <c r="A47" s="43" t="s">
        <v>409</v>
      </c>
    </row>
    <row r="48" spans="1:1">
      <c r="A48" s="39" t="s">
        <v>410</v>
      </c>
    </row>
    <row r="49" spans="1:1">
      <c r="A49" s="39"/>
    </row>
    <row r="50" spans="1:1">
      <c r="A50" s="43" t="s">
        <v>411</v>
      </c>
    </row>
    <row r="51" spans="1:1">
      <c r="A51" s="39" t="s">
        <v>412</v>
      </c>
    </row>
    <row r="52" spans="1:1">
      <c r="A52" s="39"/>
    </row>
    <row r="53" spans="1:1">
      <c r="A53" s="43" t="s">
        <v>413</v>
      </c>
    </row>
    <row r="54" spans="1:1">
      <c r="A54" s="39" t="s">
        <v>414</v>
      </c>
    </row>
    <row r="55" spans="1:1">
      <c r="A55" s="39"/>
    </row>
    <row r="56" spans="1:1">
      <c r="A56" s="43" t="s">
        <v>415</v>
      </c>
    </row>
    <row r="57" spans="1:1">
      <c r="A57" s="39" t="s">
        <v>416</v>
      </c>
    </row>
    <row r="58" spans="1:1">
      <c r="A58" s="39"/>
    </row>
    <row r="59" spans="1:1">
      <c r="A59" s="39" t="s">
        <v>417</v>
      </c>
    </row>
    <row r="60" spans="1:1">
      <c r="A60" s="39"/>
    </row>
    <row r="61" ht="18.75" spans="1:1">
      <c r="A61" s="40" t="s">
        <v>418</v>
      </c>
    </row>
    <row r="62" spans="1:1">
      <c r="A62" s="39"/>
    </row>
    <row r="63" spans="1:1">
      <c r="A63" s="43" t="s">
        <v>419</v>
      </c>
    </row>
    <row r="64" spans="1:1">
      <c r="A64" s="39" t="s">
        <v>420</v>
      </c>
    </row>
    <row r="65" spans="1:1">
      <c r="A65" s="39" t="s">
        <v>421</v>
      </c>
    </row>
    <row r="66" spans="1:1">
      <c r="A66" s="39"/>
    </row>
    <row r="67" spans="1:1">
      <c r="A67" s="43" t="s">
        <v>422</v>
      </c>
    </row>
    <row r="68" spans="1:1">
      <c r="A68" s="39" t="s">
        <v>423</v>
      </c>
    </row>
    <row r="69" spans="1:1">
      <c r="A69" s="39" t="s">
        <v>424</v>
      </c>
    </row>
    <row r="70" spans="1:1">
      <c r="A70" s="39" t="s">
        <v>425</v>
      </c>
    </row>
    <row r="71" spans="1:1">
      <c r="A71" s="39" t="s">
        <v>426</v>
      </c>
    </row>
    <row r="74" spans="1:1">
      <c r="A74" t="s">
        <v>427</v>
      </c>
    </row>
    <row r="75" spans="1:3">
      <c r="A75" s="44" t="s">
        <v>278</v>
      </c>
      <c r="B75" s="44" t="s">
        <v>428</v>
      </c>
      <c r="C75" s="44" t="s">
        <v>429</v>
      </c>
    </row>
    <row r="76" spans="1:3">
      <c r="A76" s="43" t="s">
        <v>164</v>
      </c>
      <c r="B76" s="39" t="s">
        <v>430</v>
      </c>
      <c r="C76" s="43" t="s">
        <v>431</v>
      </c>
    </row>
    <row r="77" spans="1:3">
      <c r="A77" s="43" t="s">
        <v>169</v>
      </c>
      <c r="B77" s="39" t="s">
        <v>432</v>
      </c>
      <c r="C77" s="43" t="s">
        <v>431</v>
      </c>
    </row>
    <row r="78" spans="1:3">
      <c r="A78" s="43" t="s">
        <v>172</v>
      </c>
      <c r="B78" s="39" t="s">
        <v>433</v>
      </c>
      <c r="C78" s="43" t="s">
        <v>434</v>
      </c>
    </row>
    <row r="79" spans="1:3">
      <c r="A79" s="43" t="s">
        <v>176</v>
      </c>
      <c r="B79" s="39" t="s">
        <v>435</v>
      </c>
      <c r="C79" s="43" t="s">
        <v>436</v>
      </c>
    </row>
    <row r="80" spans="1:3">
      <c r="A80" s="43" t="s">
        <v>184</v>
      </c>
      <c r="B80" s="39" t="s">
        <v>437</v>
      </c>
      <c r="C80" s="43" t="s">
        <v>438</v>
      </c>
    </row>
    <row r="81" spans="1:3">
      <c r="A81" s="43" t="s">
        <v>207</v>
      </c>
      <c r="B81" s="39" t="s">
        <v>439</v>
      </c>
      <c r="C81" s="43" t="s">
        <v>440</v>
      </c>
    </row>
    <row r="82" spans="1:3">
      <c r="A82" s="43" t="s">
        <v>227</v>
      </c>
      <c r="B82" s="39" t="s">
        <v>441</v>
      </c>
      <c r="C82" s="43" t="s">
        <v>440</v>
      </c>
    </row>
    <row r="83" spans="1:3">
      <c r="A83" s="43" t="s">
        <v>198</v>
      </c>
      <c r="B83" s="39" t="s">
        <v>442</v>
      </c>
      <c r="C83" s="43" t="s">
        <v>440</v>
      </c>
    </row>
    <row r="84" spans="1:3">
      <c r="A84" s="43" t="s">
        <v>203</v>
      </c>
      <c r="B84" s="39" t="s">
        <v>443</v>
      </c>
      <c r="C84" s="43" t="s">
        <v>444</v>
      </c>
    </row>
    <row r="85" spans="1:3">
      <c r="A85" s="43" t="s">
        <v>191</v>
      </c>
      <c r="B85" s="39" t="s">
        <v>445</v>
      </c>
      <c r="C85" s="43" t="s">
        <v>446</v>
      </c>
    </row>
    <row r="86" spans="1:3">
      <c r="A86" s="43" t="s">
        <v>361</v>
      </c>
      <c r="B86" s="39" t="s">
        <v>447</v>
      </c>
      <c r="C86" s="43" t="s">
        <v>448</v>
      </c>
    </row>
    <row r="87" spans="1:3">
      <c r="A87" s="43" t="s">
        <v>449</v>
      </c>
      <c r="B87" s="39" t="s">
        <v>450</v>
      </c>
      <c r="C87" s="43" t="s">
        <v>451</v>
      </c>
    </row>
    <row r="88" spans="1:3">
      <c r="A88" s="43" t="s">
        <v>387</v>
      </c>
      <c r="B88" s="39" t="s">
        <v>452</v>
      </c>
      <c r="C88" s="43" t="s">
        <v>453</v>
      </c>
    </row>
    <row r="89" spans="1:3">
      <c r="A89" s="43" t="s">
        <v>211</v>
      </c>
      <c r="B89" s="39" t="s">
        <v>454</v>
      </c>
      <c r="C89" s="43" t="s">
        <v>455</v>
      </c>
    </row>
    <row r="90" spans="1:3">
      <c r="A90" s="43" t="s">
        <v>215</v>
      </c>
      <c r="B90" s="39" t="s">
        <v>456</v>
      </c>
      <c r="C90" s="43" t="s">
        <v>455</v>
      </c>
    </row>
    <row r="91" spans="1:3">
      <c r="A91" s="43" t="s">
        <v>219</v>
      </c>
      <c r="B91" s="39" t="s">
        <v>457</v>
      </c>
      <c r="C91" s="43" t="s">
        <v>458</v>
      </c>
    </row>
    <row r="93" ht="18.75" spans="1:1">
      <c r="A93" s="45" t="s">
        <v>459</v>
      </c>
    </row>
    <row r="95" spans="1:1">
      <c r="A95" s="46" t="s">
        <v>460</v>
      </c>
    </row>
    <row r="97" spans="1:1">
      <c r="A97" s="47" t="s">
        <v>461</v>
      </c>
    </row>
    <row r="98" spans="1:1">
      <c r="A98" s="47" t="s">
        <v>462</v>
      </c>
    </row>
    <row r="99" spans="1:1">
      <c r="A99" s="47" t="s">
        <v>463</v>
      </c>
    </row>
    <row r="100" spans="1:1">
      <c r="A100" s="47" t="s">
        <v>464</v>
      </c>
    </row>
    <row r="101" spans="1:1">
      <c r="A101" s="47" t="s">
        <v>465</v>
      </c>
    </row>
    <row r="102" spans="1:1">
      <c r="A102" s="47" t="s">
        <v>466</v>
      </c>
    </row>
    <row r="104" spans="1:1">
      <c r="A104" s="46" t="s">
        <v>191</v>
      </c>
    </row>
    <row r="105" spans="1:1">
      <c r="A105" t="s">
        <v>467</v>
      </c>
    </row>
    <row r="107" spans="1:1">
      <c r="A107" s="46" t="s">
        <v>219</v>
      </c>
    </row>
    <row r="108" spans="1:1">
      <c r="A108" t="s">
        <v>468</v>
      </c>
    </row>
    <row r="110" ht="18.75" spans="1:1">
      <c r="A110" s="45" t="s">
        <v>469</v>
      </c>
    </row>
    <row r="112" spans="1:1">
      <c r="A112" t="s">
        <v>470</v>
      </c>
    </row>
    <row r="113" spans="1:1">
      <c r="A113" t="s">
        <v>471</v>
      </c>
    </row>
    <row r="114" spans="1:1">
      <c r="A114" t="s">
        <v>472</v>
      </c>
    </row>
    <row r="115" spans="1:1">
      <c r="A115" t="s">
        <v>473</v>
      </c>
    </row>
    <row r="116" spans="1:1">
      <c r="A116" t="s">
        <v>474</v>
      </c>
    </row>
    <row r="117" spans="1:1">
      <c r="A117" t="s">
        <v>475</v>
      </c>
    </row>
    <row r="119" spans="1:1">
      <c r="A119" t="s">
        <v>476</v>
      </c>
    </row>
    <row r="120" spans="1:1">
      <c r="A120" t="s">
        <v>477</v>
      </c>
    </row>
    <row r="121" spans="1:1">
      <c r="A121" t="s">
        <v>478</v>
      </c>
    </row>
  </sheetData>
  <pageMargins left="0.75" right="0.75" top="1" bottom="1" header="0.5" footer="0.5"/>
  <headerFooter/>
  <ignoredErrors>
    <ignoredError sqref="H15" formula="1"/>
  </ignoredError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49"/>
  <sheetViews>
    <sheetView topLeftCell="A4" workbookViewId="0">
      <selection activeCell="I33" sqref="I33"/>
    </sheetView>
  </sheetViews>
  <sheetFormatPr defaultColWidth="9.14285714285714" defaultRowHeight="15"/>
  <cols>
    <col min="1" max="1" width="20.7142857142857" style="5" customWidth="1"/>
    <col min="2" max="2" width="13.5714285714286" style="5" customWidth="1"/>
    <col min="3" max="3" width="14.1428571428571" style="5" customWidth="1"/>
    <col min="4" max="4" width="34.4285714285714" style="6" customWidth="1"/>
    <col min="5" max="5" width="28.4285714285714" style="5" customWidth="1"/>
    <col min="6" max="6" width="9.57142857142857" style="5"/>
    <col min="7" max="7" width="9.14285714285714" style="5"/>
    <col min="8" max="8" width="18" style="7" customWidth="1"/>
    <col min="9" max="9" width="11.7142857142857" style="5"/>
  </cols>
  <sheetData>
    <row r="1" s="3" customFormat="1" spans="1:9">
      <c r="A1" s="8" t="s">
        <v>479</v>
      </c>
      <c r="B1" s="9" t="s">
        <v>480</v>
      </c>
      <c r="C1" s="9" t="s">
        <v>481</v>
      </c>
      <c r="D1" s="10" t="s">
        <v>482</v>
      </c>
      <c r="E1" s="8"/>
      <c r="F1" s="8" t="s">
        <v>278</v>
      </c>
      <c r="G1" s="8" t="s">
        <v>483</v>
      </c>
      <c r="H1" s="11" t="s">
        <v>484</v>
      </c>
      <c r="I1" s="8" t="s">
        <v>485</v>
      </c>
    </row>
    <row r="2" spans="1:9">
      <c r="A2" s="12" t="s">
        <v>486</v>
      </c>
      <c r="B2" s="13" t="s">
        <v>487</v>
      </c>
      <c r="C2" s="13" t="s">
        <v>488</v>
      </c>
      <c r="D2" s="14">
        <v>0</v>
      </c>
      <c r="E2" s="15" t="s">
        <v>489</v>
      </c>
      <c r="F2" s="15">
        <f>(17900-SUM(I3:I4))/H2</f>
        <v>1975.71428571429</v>
      </c>
      <c r="G2" s="16">
        <f>F2/1000</f>
        <v>1.97571428571429</v>
      </c>
      <c r="H2" s="17">
        <v>8.4</v>
      </c>
      <c r="I2" s="15">
        <f t="shared" ref="I2:I6" si="0">F2*H2</f>
        <v>16596</v>
      </c>
    </row>
    <row r="3" spans="1:9">
      <c r="A3" s="12"/>
      <c r="B3" s="13"/>
      <c r="C3" s="13"/>
      <c r="D3" s="14"/>
      <c r="E3" s="15" t="s">
        <v>490</v>
      </c>
      <c r="F3" s="15">
        <v>4</v>
      </c>
      <c r="G3" s="16"/>
      <c r="H3" s="17">
        <v>2326</v>
      </c>
      <c r="I3" s="15">
        <f>F3*H3</f>
        <v>9304</v>
      </c>
    </row>
    <row r="4" spans="1:9">
      <c r="A4" s="12"/>
      <c r="B4" s="13"/>
      <c r="C4" s="13"/>
      <c r="D4" s="14"/>
      <c r="E4" s="15" t="s">
        <v>491</v>
      </c>
      <c r="F4" s="15">
        <v>-20</v>
      </c>
      <c r="G4" s="16"/>
      <c r="H4" s="17">
        <v>400</v>
      </c>
      <c r="I4" s="15">
        <f t="shared" si="0"/>
        <v>-8000</v>
      </c>
    </row>
    <row r="5" spans="1:9">
      <c r="A5" s="12" t="s">
        <v>492</v>
      </c>
      <c r="B5" s="13" t="s">
        <v>487</v>
      </c>
      <c r="C5" s="13" t="s">
        <v>493</v>
      </c>
      <c r="D5" s="14">
        <v>-0.5</v>
      </c>
      <c r="E5" s="15" t="s">
        <v>489</v>
      </c>
      <c r="F5" s="15">
        <f>I5/H5</f>
        <v>3559.52380952381</v>
      </c>
      <c r="G5" s="16">
        <f>F5/1000</f>
        <v>3.55952380952381</v>
      </c>
      <c r="H5" s="17">
        <v>8.4</v>
      </c>
      <c r="I5" s="15">
        <f>17900-I6</f>
        <v>29900</v>
      </c>
    </row>
    <row r="6" spans="1:9">
      <c r="A6" s="12"/>
      <c r="B6" s="13"/>
      <c r="C6" s="13"/>
      <c r="D6" s="14"/>
      <c r="E6" s="15" t="s">
        <v>491</v>
      </c>
      <c r="F6" s="15">
        <v>-30</v>
      </c>
      <c r="G6" s="16"/>
      <c r="H6" s="17">
        <v>400</v>
      </c>
      <c r="I6" s="15">
        <f t="shared" si="0"/>
        <v>-12000</v>
      </c>
    </row>
    <row r="7" spans="1:9">
      <c r="A7" s="12" t="s">
        <v>494</v>
      </c>
      <c r="B7" s="13" t="s">
        <v>487</v>
      </c>
      <c r="C7" s="13" t="s">
        <v>495</v>
      </c>
      <c r="D7" s="18">
        <v>-0.5</v>
      </c>
      <c r="E7" s="15" t="s">
        <v>489</v>
      </c>
      <c r="F7" s="15">
        <f>I7/H7</f>
        <v>2678.57142857143</v>
      </c>
      <c r="G7" s="16">
        <f>F7/1000</f>
        <v>2.67857142857143</v>
      </c>
      <c r="H7" s="17">
        <v>8.4</v>
      </c>
      <c r="I7" s="15">
        <f>17900-I8-I9</f>
        <v>22500</v>
      </c>
    </row>
    <row r="8" spans="1:9">
      <c r="A8" s="12"/>
      <c r="B8" s="13"/>
      <c r="C8" s="13"/>
      <c r="D8" s="18"/>
      <c r="E8" s="15" t="s">
        <v>496</v>
      </c>
      <c r="F8" s="19">
        <v>0.1</v>
      </c>
      <c r="G8" s="16"/>
      <c r="H8" s="17">
        <v>140</v>
      </c>
      <c r="I8" s="15">
        <f>F8*H8*100</f>
        <v>1400</v>
      </c>
    </row>
    <row r="9" spans="1:9">
      <c r="A9" s="12"/>
      <c r="B9" s="13"/>
      <c r="C9" s="13"/>
      <c r="D9" s="18"/>
      <c r="E9" s="15" t="s">
        <v>497</v>
      </c>
      <c r="F9" s="15">
        <v>-15</v>
      </c>
      <c r="G9" s="16"/>
      <c r="H9" s="17">
        <v>400</v>
      </c>
      <c r="I9" s="15">
        <f>F9*H9</f>
        <v>-6000</v>
      </c>
    </row>
    <row r="10" spans="1:9">
      <c r="A10" s="12" t="s">
        <v>498</v>
      </c>
      <c r="B10" s="13" t="s">
        <v>499</v>
      </c>
      <c r="C10" s="13" t="s">
        <v>488</v>
      </c>
      <c r="D10" s="18">
        <v>0</v>
      </c>
      <c r="E10" s="15" t="s">
        <v>489</v>
      </c>
      <c r="F10" s="15">
        <f>I10/H10</f>
        <v>1464.28571428571</v>
      </c>
      <c r="G10" s="16">
        <f>F10/1000</f>
        <v>1.46428571428571</v>
      </c>
      <c r="H10" s="17">
        <v>8.4</v>
      </c>
      <c r="I10" s="15">
        <f>17900-I11-I12</f>
        <v>12300</v>
      </c>
    </row>
    <row r="11" spans="1:9">
      <c r="A11" s="12"/>
      <c r="B11" s="13"/>
      <c r="C11" s="13"/>
      <c r="D11" s="18"/>
      <c r="E11" s="15" t="s">
        <v>496</v>
      </c>
      <c r="F11" s="20">
        <v>0.1</v>
      </c>
      <c r="G11" s="15"/>
      <c r="H11" s="17">
        <v>140</v>
      </c>
      <c r="I11" s="15">
        <f>F11*H11*100</f>
        <v>1400</v>
      </c>
    </row>
    <row r="12" spans="1:9">
      <c r="A12" s="12"/>
      <c r="B12" s="13"/>
      <c r="C12" s="13"/>
      <c r="D12" s="18"/>
      <c r="E12" s="15" t="s">
        <v>500</v>
      </c>
      <c r="F12" s="19">
        <v>0.3</v>
      </c>
      <c r="G12" s="15"/>
      <c r="H12" s="17">
        <v>140</v>
      </c>
      <c r="I12" s="15">
        <f>F12*H12*100</f>
        <v>4200</v>
      </c>
    </row>
    <row r="13" spans="1:9">
      <c r="A13" s="12" t="s">
        <v>501</v>
      </c>
      <c r="B13" s="13" t="s">
        <v>487</v>
      </c>
      <c r="C13" s="13" t="s">
        <v>502</v>
      </c>
      <c r="D13" s="14" t="s">
        <v>503</v>
      </c>
      <c r="E13" s="15" t="s">
        <v>489</v>
      </c>
      <c r="F13" s="15">
        <f>I13/H13</f>
        <v>1702.38095238095</v>
      </c>
      <c r="G13" s="16">
        <f>F13/1000</f>
        <v>1.70238095238095</v>
      </c>
      <c r="H13" s="17">
        <v>8.4</v>
      </c>
      <c r="I13" s="15">
        <f>17900-I14-I16-I15</f>
        <v>14300</v>
      </c>
    </row>
    <row r="14" spans="1:9">
      <c r="A14" s="12"/>
      <c r="B14" s="13"/>
      <c r="C14" s="13"/>
      <c r="D14" s="14"/>
      <c r="E14" s="15" t="s">
        <v>504</v>
      </c>
      <c r="F14" s="20">
        <v>0.2</v>
      </c>
      <c r="G14" s="15"/>
      <c r="H14" s="17">
        <v>140</v>
      </c>
      <c r="I14" s="15">
        <f>F14*H14*100</f>
        <v>2800</v>
      </c>
    </row>
    <row r="15" spans="1:9">
      <c r="A15" s="12"/>
      <c r="B15" s="13"/>
      <c r="C15" s="13"/>
      <c r="D15" s="14"/>
      <c r="E15" s="15" t="s">
        <v>500</v>
      </c>
      <c r="F15" s="19">
        <v>0.2</v>
      </c>
      <c r="G15" s="15"/>
      <c r="H15" s="17">
        <v>140</v>
      </c>
      <c r="I15" s="15">
        <f>F15*H15*100</f>
        <v>2800</v>
      </c>
    </row>
    <row r="16" spans="1:9">
      <c r="A16" s="12"/>
      <c r="B16" s="13"/>
      <c r="C16" s="13"/>
      <c r="D16" s="14"/>
      <c r="E16" s="15" t="s">
        <v>491</v>
      </c>
      <c r="F16" s="15">
        <v>-5</v>
      </c>
      <c r="G16" s="15"/>
      <c r="H16" s="17">
        <v>400</v>
      </c>
      <c r="I16" s="15">
        <f>F16*H16</f>
        <v>-2000</v>
      </c>
    </row>
    <row r="17" spans="1:9">
      <c r="A17" s="12" t="s">
        <v>505</v>
      </c>
      <c r="B17" s="13" t="s">
        <v>499</v>
      </c>
      <c r="C17" s="13" t="s">
        <v>506</v>
      </c>
      <c r="D17" s="18">
        <v>-0.5</v>
      </c>
      <c r="E17" s="15" t="s">
        <v>489</v>
      </c>
      <c r="F17" s="15">
        <f>I17/H17</f>
        <v>2750</v>
      </c>
      <c r="G17" s="16">
        <f>F17/1000</f>
        <v>2.75</v>
      </c>
      <c r="H17" s="17">
        <v>8.4</v>
      </c>
      <c r="I17" s="15">
        <f>17900-I18-I19</f>
        <v>23100</v>
      </c>
    </row>
    <row r="18" spans="1:9">
      <c r="A18" s="12"/>
      <c r="B18" s="13"/>
      <c r="C18" s="13"/>
      <c r="D18" s="18"/>
      <c r="E18" s="15" t="s">
        <v>507</v>
      </c>
      <c r="F18" s="15">
        <v>1</v>
      </c>
      <c r="G18" s="15"/>
      <c r="H18" s="17">
        <v>4800</v>
      </c>
      <c r="I18" s="15">
        <f t="shared" ref="I18:I20" si="1">F18*H18</f>
        <v>4800</v>
      </c>
    </row>
    <row r="19" spans="1:9">
      <c r="A19" s="12"/>
      <c r="B19" s="13"/>
      <c r="C19" s="13"/>
      <c r="D19" s="18"/>
      <c r="E19" s="15" t="s">
        <v>491</v>
      </c>
      <c r="F19" s="15">
        <v>-25</v>
      </c>
      <c r="G19" s="15"/>
      <c r="H19" s="17">
        <v>400</v>
      </c>
      <c r="I19" s="15">
        <f t="shared" si="1"/>
        <v>-10000</v>
      </c>
    </row>
    <row r="20" spans="1:9">
      <c r="A20" s="12" t="s">
        <v>508</v>
      </c>
      <c r="B20" s="13" t="s">
        <v>487</v>
      </c>
      <c r="C20" s="13" t="s">
        <v>488</v>
      </c>
      <c r="D20" s="19"/>
      <c r="E20" s="15" t="s">
        <v>489</v>
      </c>
      <c r="F20" s="15">
        <f>17900/H20</f>
        <v>2130.95238095238</v>
      </c>
      <c r="G20" s="16">
        <f>F20/1000</f>
        <v>2.13095238095238</v>
      </c>
      <c r="H20" s="17">
        <v>8.4</v>
      </c>
      <c r="I20" s="15">
        <f>F20*H20</f>
        <v>17900</v>
      </c>
    </row>
    <row r="21" spans="1:9">
      <c r="A21" s="21" t="s">
        <v>509</v>
      </c>
      <c r="B21" s="22"/>
      <c r="C21" s="22"/>
      <c r="D21" s="23"/>
      <c r="E21" s="24" t="s">
        <v>510</v>
      </c>
      <c r="F21" s="24">
        <v>500</v>
      </c>
      <c r="G21" s="16">
        <f>F21/1000</f>
        <v>0.5</v>
      </c>
      <c r="H21" s="25">
        <v>5.6</v>
      </c>
      <c r="I21" s="24">
        <f>F21*H21</f>
        <v>2800</v>
      </c>
    </row>
    <row r="22" spans="1:9">
      <c r="A22" s="21"/>
      <c r="B22" s="26"/>
      <c r="C22" s="26"/>
      <c r="D22" s="23"/>
      <c r="E22" s="15" t="s">
        <v>184</v>
      </c>
      <c r="F22" s="24">
        <v>500</v>
      </c>
      <c r="G22" s="16">
        <f>F22/1000</f>
        <v>0.5</v>
      </c>
      <c r="H22" s="25">
        <v>11.6</v>
      </c>
      <c r="I22" s="24">
        <f>F22*H22</f>
        <v>5800</v>
      </c>
    </row>
    <row r="23" s="4" customFormat="1" spans="1:9">
      <c r="A23" s="21"/>
      <c r="B23" s="27"/>
      <c r="C23" s="27"/>
      <c r="D23" s="23"/>
      <c r="E23" s="15" t="s">
        <v>511</v>
      </c>
      <c r="F23" s="15">
        <v>9300</v>
      </c>
      <c r="G23" s="16">
        <f>F23/1000</f>
        <v>9.3</v>
      </c>
      <c r="H23" s="17">
        <v>1</v>
      </c>
      <c r="I23" s="15">
        <f>17900-I21-I22</f>
        <v>9300</v>
      </c>
    </row>
    <row r="24" spans="1:9">
      <c r="A24" s="12" t="s">
        <v>512</v>
      </c>
      <c r="B24" s="13"/>
      <c r="C24" s="13"/>
      <c r="D24" s="14"/>
      <c r="E24" s="15" t="s">
        <v>511</v>
      </c>
      <c r="F24" s="15">
        <v>9300</v>
      </c>
      <c r="G24" s="16">
        <f>F24/1000</f>
        <v>9.3</v>
      </c>
      <c r="H24" s="17">
        <v>1</v>
      </c>
      <c r="I24" s="15">
        <f>F24*H24</f>
        <v>9300</v>
      </c>
    </row>
    <row r="25" spans="1:9">
      <c r="A25" s="12"/>
      <c r="B25" s="13"/>
      <c r="C25" s="13"/>
      <c r="D25" s="14"/>
      <c r="E25" s="15" t="s">
        <v>513</v>
      </c>
      <c r="F25" s="15">
        <f>I25*H25</f>
        <v>8600</v>
      </c>
      <c r="G25" s="16">
        <f>F25/1000</f>
        <v>8.6</v>
      </c>
      <c r="H25" s="17">
        <v>1</v>
      </c>
      <c r="I25" s="15">
        <f>17900-I24</f>
        <v>8600</v>
      </c>
    </row>
    <row r="26" spans="1:9">
      <c r="A26" s="12" t="s">
        <v>514</v>
      </c>
      <c r="B26" s="13"/>
      <c r="C26" s="13"/>
      <c r="D26" s="14"/>
      <c r="E26" s="15" t="s">
        <v>511</v>
      </c>
      <c r="F26" s="28">
        <f>I26/H26</f>
        <v>4100</v>
      </c>
      <c r="G26" s="16">
        <f>F26/1000</f>
        <v>4.1</v>
      </c>
      <c r="H26" s="17">
        <v>1</v>
      </c>
      <c r="I26" s="15">
        <f>17900-SUM(I27:I29)</f>
        <v>4100</v>
      </c>
    </row>
    <row r="27" spans="1:9">
      <c r="A27" s="12"/>
      <c r="B27" s="13"/>
      <c r="C27" s="13"/>
      <c r="D27" s="14"/>
      <c r="E27" s="15" t="s">
        <v>500</v>
      </c>
      <c r="F27" s="29">
        <v>0.2</v>
      </c>
      <c r="G27" s="16"/>
      <c r="H27" s="17">
        <v>140</v>
      </c>
      <c r="I27" s="15">
        <f>F27*H27*100</f>
        <v>2800</v>
      </c>
    </row>
    <row r="28" spans="1:9">
      <c r="A28" s="12"/>
      <c r="B28" s="13"/>
      <c r="C28" s="13"/>
      <c r="D28" s="14"/>
      <c r="E28" s="15" t="s">
        <v>510</v>
      </c>
      <c r="F28" s="28">
        <f>I28/H28</f>
        <v>982.142857142857</v>
      </c>
      <c r="G28" s="16">
        <f>F28/1000</f>
        <v>0.982142857142857</v>
      </c>
      <c r="H28" s="25">
        <v>5.6</v>
      </c>
      <c r="I28" s="15">
        <f>(17900-1400)/3</f>
        <v>5500</v>
      </c>
    </row>
    <row r="29" spans="1:9">
      <c r="A29" s="12"/>
      <c r="B29" s="13"/>
      <c r="C29" s="13"/>
      <c r="D29" s="14"/>
      <c r="E29" s="15" t="s">
        <v>515</v>
      </c>
      <c r="F29" s="28">
        <f>I29/H29</f>
        <v>474.137931034483</v>
      </c>
      <c r="G29" s="16">
        <f>F29/1000</f>
        <v>0.474137931034483</v>
      </c>
      <c r="H29" s="25">
        <v>11.6</v>
      </c>
      <c r="I29" s="15">
        <f>(17900-1400)/3</f>
        <v>5500</v>
      </c>
    </row>
    <row r="30" spans="1:9">
      <c r="A30" s="12" t="s">
        <v>516</v>
      </c>
      <c r="B30" s="13"/>
      <c r="C30" s="13"/>
      <c r="D30" s="14"/>
      <c r="E30" s="15" t="s">
        <v>511</v>
      </c>
      <c r="F30" s="28">
        <f>I30/H30</f>
        <v>5900</v>
      </c>
      <c r="G30" s="15"/>
      <c r="H30" s="17">
        <v>1</v>
      </c>
      <c r="I30" s="15">
        <v>5900</v>
      </c>
    </row>
    <row r="31" spans="1:9">
      <c r="A31" s="12"/>
      <c r="B31" s="13"/>
      <c r="C31" s="13"/>
      <c r="D31" s="14"/>
      <c r="E31" s="15" t="s">
        <v>510</v>
      </c>
      <c r="F31" s="28">
        <f>I31/H31</f>
        <v>1071.42857142857</v>
      </c>
      <c r="G31" s="15"/>
      <c r="H31" s="25">
        <v>5.6</v>
      </c>
      <c r="I31" s="15">
        <v>6000</v>
      </c>
    </row>
    <row r="32" spans="1:9">
      <c r="A32" s="12"/>
      <c r="B32" s="13"/>
      <c r="C32" s="13"/>
      <c r="D32" s="14"/>
      <c r="E32" s="15" t="s">
        <v>515</v>
      </c>
      <c r="F32" s="28">
        <f>I32/H32</f>
        <v>517.241379310345</v>
      </c>
      <c r="G32" s="15"/>
      <c r="H32" s="25">
        <v>11.6</v>
      </c>
      <c r="I32" s="15">
        <v>6000</v>
      </c>
    </row>
    <row r="33" spans="1:9">
      <c r="A33" s="12" t="s">
        <v>517</v>
      </c>
      <c r="B33" s="13"/>
      <c r="C33" s="13"/>
      <c r="D33" s="14"/>
      <c r="E33" s="15" t="s">
        <v>513</v>
      </c>
      <c r="F33" s="28">
        <f>I33/H33</f>
        <v>6748</v>
      </c>
      <c r="G33" s="15"/>
      <c r="H33" s="17">
        <v>1</v>
      </c>
      <c r="I33" s="15">
        <f>17900-(I34+I35)</f>
        <v>6748</v>
      </c>
    </row>
    <row r="34" spans="1:9">
      <c r="A34" s="12"/>
      <c r="B34" s="13"/>
      <c r="C34" s="13"/>
      <c r="D34" s="14"/>
      <c r="E34" s="15" t="s">
        <v>515</v>
      </c>
      <c r="F34" s="28">
        <f>I34/H34</f>
        <v>560.344827586207</v>
      </c>
      <c r="G34" s="15"/>
      <c r="H34" s="25">
        <v>11.6</v>
      </c>
      <c r="I34" s="15">
        <v>6500</v>
      </c>
    </row>
    <row r="35" spans="1:9">
      <c r="A35" s="12"/>
      <c r="B35" s="13"/>
      <c r="C35" s="13"/>
      <c r="D35" s="14"/>
      <c r="E35" s="15" t="s">
        <v>490</v>
      </c>
      <c r="F35" s="15">
        <v>2</v>
      </c>
      <c r="G35" s="15"/>
      <c r="H35" s="17">
        <v>2326</v>
      </c>
      <c r="I35" s="15">
        <f>H35*F35</f>
        <v>4652</v>
      </c>
    </row>
    <row r="36" spans="1:9">
      <c r="A36" s="12" t="s">
        <v>518</v>
      </c>
      <c r="B36" s="13"/>
      <c r="C36" s="13"/>
      <c r="D36" s="14"/>
      <c r="E36" s="15" t="s">
        <v>489</v>
      </c>
      <c r="F36" s="15">
        <f>I36/H36</f>
        <v>702.380952380952</v>
      </c>
      <c r="G36" s="15"/>
      <c r="H36" s="17">
        <v>8.4</v>
      </c>
      <c r="I36" s="15">
        <v>5900</v>
      </c>
    </row>
    <row r="37" spans="1:9">
      <c r="A37" s="12"/>
      <c r="B37" s="13"/>
      <c r="C37" s="13"/>
      <c r="D37" s="14"/>
      <c r="E37" s="15" t="s">
        <v>496</v>
      </c>
      <c r="F37" s="19">
        <f>I37/H37/100</f>
        <v>0.214285714285714</v>
      </c>
      <c r="G37" s="15"/>
      <c r="H37" s="17">
        <v>140</v>
      </c>
      <c r="I37" s="15">
        <v>3000</v>
      </c>
    </row>
    <row r="38" spans="1:9">
      <c r="A38" s="12"/>
      <c r="B38" s="13"/>
      <c r="C38" s="13"/>
      <c r="D38" s="14"/>
      <c r="E38" s="15" t="s">
        <v>519</v>
      </c>
      <c r="F38" s="19">
        <f>I38/H38/100</f>
        <v>1.07142857142857</v>
      </c>
      <c r="G38" s="15"/>
      <c r="H38" s="17">
        <v>28</v>
      </c>
      <c r="I38" s="15">
        <v>3000</v>
      </c>
    </row>
    <row r="39" spans="1:9">
      <c r="A39" s="12"/>
      <c r="B39" s="13"/>
      <c r="C39" s="13"/>
      <c r="D39" s="14"/>
      <c r="E39" s="15" t="s">
        <v>500</v>
      </c>
      <c r="F39" s="19">
        <f>I39/H39/100</f>
        <v>0.428571428571429</v>
      </c>
      <c r="G39" s="15"/>
      <c r="H39" s="17">
        <v>140</v>
      </c>
      <c r="I39" s="15">
        <v>6000</v>
      </c>
    </row>
    <row r="42" spans="1:1">
      <c r="A42" t="s">
        <v>520</v>
      </c>
    </row>
    <row r="43" spans="1:1">
      <c r="A43" s="4" t="s">
        <v>521</v>
      </c>
    </row>
    <row r="44" spans="1:1">
      <c r="A44" s="5" t="s">
        <v>522</v>
      </c>
    </row>
    <row r="45" spans="1:1">
      <c r="A45" s="5" t="s">
        <v>523</v>
      </c>
    </row>
    <row r="46" spans="1:1">
      <c r="A46" s="5" t="s">
        <v>524</v>
      </c>
    </row>
    <row r="47" spans="1:1">
      <c r="A47" s="5" t="s">
        <v>525</v>
      </c>
    </row>
    <row r="48" spans="1:1">
      <c r="A48" s="5" t="s">
        <v>526</v>
      </c>
    </row>
    <row r="49">
      <c r="A49" t="inlineStr">
        <is>
          <t>Weapon Attack Target, Area of Attack, and secondary-target Attack modifiers apply only to normal attacks. Each skill defines its own target selection and area of effect and does not inherit these weapon targeting rules or secondary-target Attack modifiers.</t>
        </is>
      </c>
    </row>
  </sheetData>
  <mergeCells count="48">
    <mergeCell ref="A2:A4"/>
    <mergeCell ref="A5:A6"/>
    <mergeCell ref="A7:A9"/>
    <mergeCell ref="A10:A12"/>
    <mergeCell ref="A13:A16"/>
    <mergeCell ref="A17:A19"/>
    <mergeCell ref="A21:A23"/>
    <mergeCell ref="A24:A25"/>
    <mergeCell ref="A26:A29"/>
    <mergeCell ref="A30:A32"/>
    <mergeCell ref="A33:A35"/>
    <mergeCell ref="A36:A39"/>
    <mergeCell ref="B2:B4"/>
    <mergeCell ref="B5:B6"/>
    <mergeCell ref="B7:B9"/>
    <mergeCell ref="B10:B12"/>
    <mergeCell ref="B13:B16"/>
    <mergeCell ref="B17:B19"/>
    <mergeCell ref="B21:B23"/>
    <mergeCell ref="B24:B25"/>
    <mergeCell ref="B26:B29"/>
    <mergeCell ref="B30:B32"/>
    <mergeCell ref="B33:B35"/>
    <mergeCell ref="B36:B39"/>
    <mergeCell ref="C2:C4"/>
    <mergeCell ref="C5:C6"/>
    <mergeCell ref="C7:C9"/>
    <mergeCell ref="C10:C12"/>
    <mergeCell ref="C13:C16"/>
    <mergeCell ref="C17:C19"/>
    <mergeCell ref="C21:C23"/>
    <mergeCell ref="C24:C25"/>
    <mergeCell ref="C26:C29"/>
    <mergeCell ref="C30:C32"/>
    <mergeCell ref="C33:C35"/>
    <mergeCell ref="C36:C39"/>
    <mergeCell ref="D2:D4"/>
    <mergeCell ref="D5:D6"/>
    <mergeCell ref="D7:D9"/>
    <mergeCell ref="D10:D12"/>
    <mergeCell ref="D13:D16"/>
    <mergeCell ref="D17:D19"/>
    <mergeCell ref="D21:D23"/>
    <mergeCell ref="D24:D25"/>
    <mergeCell ref="D26:D29"/>
    <mergeCell ref="D30:D32"/>
    <mergeCell ref="D33:D35"/>
    <mergeCell ref="D36:D39"/>
  </mergeCells>
  <pageMargins left="0.75" right="0.75" top="1" bottom="1" header="0.5" footer="0.5"/>
  <headerFooter/>
  <ignoredErrors>
    <ignoredError sqref="I8" formula="1"/>
  </ignoredError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14285714285714" defaultRowHeight="15"/>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tabSelected="1" workbookViewId="0">
      <selection activeCell="C18" sqref="C18"/>
    </sheetView>
  </sheetViews>
  <sheetFormatPr defaultColWidth="9.14285714285714" defaultRowHeight="15" outlineLevelCol="2"/>
  <cols>
    <col min="1" max="1" width="18.7142857142857" customWidth="1"/>
    <col min="2" max="2" width="15.1428571428571" customWidth="1"/>
    <col min="3" max="3" width="11.8571428571429" customWidth="1"/>
  </cols>
  <sheetData>
    <row r="1" spans="1:3">
      <c r="A1" s="1" t="s">
        <v>527</v>
      </c>
      <c r="B1" s="1" t="s">
        <v>528</v>
      </c>
      <c r="C1" s="1" t="s">
        <v>529</v>
      </c>
    </row>
    <row r="2" spans="1:3">
      <c r="A2" s="2" t="s">
        <v>530</v>
      </c>
      <c r="B2" s="2"/>
      <c r="C2" s="2" t="s">
        <v>531</v>
      </c>
    </row>
    <row r="3" spans="1:3">
      <c r="A3" s="2" t="s">
        <v>532</v>
      </c>
      <c r="B3" s="2"/>
      <c r="C3" s="2" t="s">
        <v>533</v>
      </c>
    </row>
    <row r="4" spans="1:3">
      <c r="A4" s="2" t="s">
        <v>534</v>
      </c>
      <c r="B4" s="2"/>
      <c r="C4" s="2" t="s">
        <v>535</v>
      </c>
    </row>
    <row r="5" spans="1:3">
      <c r="A5" s="2" t="s">
        <v>536</v>
      </c>
      <c r="B5" s="2"/>
      <c r="C5" s="2" t="s">
        <v>537</v>
      </c>
    </row>
    <row r="6" spans="1:3">
      <c r="A6" s="2" t="s">
        <v>538</v>
      </c>
      <c r="B6" s="2"/>
      <c r="C6" s="2" t="s">
        <v>539</v>
      </c>
    </row>
    <row r="7" spans="1:3">
      <c r="A7" s="2" t="s">
        <v>540</v>
      </c>
      <c r="B7" s="2"/>
      <c r="C7" s="2" t="s">
        <v>541</v>
      </c>
    </row>
    <row r="8" spans="1:3">
      <c r="A8" s="2" t="s">
        <v>542</v>
      </c>
      <c r="B8" s="2"/>
      <c r="C8" s="2" t="s">
        <v>543</v>
      </c>
    </row>
    <row r="9" spans="1:3">
      <c r="A9" s="2" t="s">
        <v>544</v>
      </c>
      <c r="B9" s="2"/>
      <c r="C9" s="2" t="s">
        <v>545</v>
      </c>
    </row>
    <row r="10" spans="1:3">
      <c r="A10" s="2" t="s">
        <v>546</v>
      </c>
      <c r="B10" s="2"/>
      <c r="C10" s="2" t="s">
        <v>547</v>
      </c>
    </row>
    <row r="11" spans="1:3">
      <c r="A11" s="2" t="s">
        <v>548</v>
      </c>
      <c r="B11" s="2"/>
      <c r="C11" s="2" t="s">
        <v>549</v>
      </c>
    </row>
    <row r="12" spans="1:3">
      <c r="A12" s="2" t="s">
        <v>550</v>
      </c>
      <c r="B12" s="2"/>
      <c r="C12" s="2" t="s">
        <v>551</v>
      </c>
    </row>
    <row r="13" spans="1:3">
      <c r="A13" s="2" t="s">
        <v>552</v>
      </c>
      <c r="B13" s="2"/>
      <c r="C13" s="2" t="s">
        <v>553</v>
      </c>
    </row>
    <row r="14" spans="1:3">
      <c r="A14" s="2" t="s">
        <v>554</v>
      </c>
      <c r="B14" s="2"/>
      <c r="C14" s="2" t="s">
        <v>555</v>
      </c>
    </row>
    <row r="15" spans="1:3">
      <c r="A15" s="2" t="s">
        <v>516</v>
      </c>
      <c r="B15" s="2">
        <v>5</v>
      </c>
      <c r="C15" s="2" t="s">
        <v>556</v>
      </c>
    </row>
    <row r="16" spans="1:3">
      <c r="A16" s="2" t="s">
        <v>557</v>
      </c>
      <c r="B16" s="2"/>
      <c r="C16" s="2" t="s">
        <v>558</v>
      </c>
    </row>
    <row r="17" spans="1:3">
      <c r="A17" s="2"/>
      <c r="B17" s="2"/>
      <c r="C17" s="2"/>
    </row>
    <row r="18" spans="1:3">
      <c r="A18" s="2" t="s">
        <v>460</v>
      </c>
      <c r="B18" s="2">
        <v>3</v>
      </c>
      <c r="C18" s="2" t="s">
        <v>559</v>
      </c>
    </row>
    <row r="19" spans="1:3">
      <c r="A19" s="2" t="s">
        <v>560</v>
      </c>
      <c r="B19" s="2">
        <v>3</v>
      </c>
      <c r="C19" s="2" t="inlineStr">
        <is>
          <t>Has no direct effect. Each target can gain at most 1 Stun Count stack per global turn, regardless of the number of hits or sources. All stacks share a 3-global-turn duration; gaining a stack refreshes the shared duration to 3 global turns. When the duration expires, all stacks reset to 0. Reaching Stun Threshold triggers Stun. Stun Count resets to 0 and cannot increase while stunned.</t>
        </is>
      </c>
    </row>
    <row r="20" spans="1:3">
      <c r="A20" s="2" t="s">
        <v>361</v>
      </c>
      <c r="B20" s="2"/>
      <c r="C20" s="2" t="s">
        <v>562</v>
      </c>
    </row>
    <row r="21" spans="1:3">
      <c r="A21" s="2" t="s">
        <v>563</v>
      </c>
      <c r="B21" s="2"/>
      <c r="C21" s="2" t="s">
        <v>564</v>
      </c>
    </row>
    <row r="22" spans="1:3">
      <c r="A22" s="2" t="s">
        <v>565</v>
      </c>
      <c r="B22" s="2"/>
      <c r="C22" s="2" t="s">
        <v>566</v>
      </c>
    </row>
    <row r="23" spans="1:3">
      <c r="A23" s="2" t="s">
        <v>567</v>
      </c>
      <c r="B23" s="2"/>
      <c r="C23" s="2" t="s">
        <v>568</v>
      </c>
    </row>
    <row r="24" spans="1:3">
      <c r="A24" s="2" t="s">
        <v>569</v>
      </c>
      <c r="B24" s="2"/>
      <c r="C24" s="2" t="s">
        <v>570</v>
      </c>
    </row>
    <row r="25" spans="1:3">
      <c r="A25" s="2" t="s">
        <v>571</v>
      </c>
      <c r="B25" s="2"/>
      <c r="C25" s="2" t="s">
        <v>572</v>
      </c>
    </row>
    <row r="26" spans="1:3">
      <c r="A26" s="2" t="s">
        <v>573</v>
      </c>
      <c r="B26" s="2"/>
      <c r="C26" s="2" t="s">
        <v>574</v>
      </c>
    </row>
    <row r="27" spans="1:3">
      <c r="A27" s="2" t="s">
        <v>575</v>
      </c>
      <c r="B27" s="2"/>
      <c r="C27" s="2" t="s">
        <v>576</v>
      </c>
    </row>
    <row r="28" spans="1:3">
      <c r="A28" s="2" t="s">
        <v>577</v>
      </c>
      <c r="B28" s="2"/>
      <c r="C28" s="2" t="s">
        <v>578</v>
      </c>
    </row>
    <row r="29" spans="1:3">
      <c r="A29" s="2" t="s">
        <v>579</v>
      </c>
      <c r="B29" s="2"/>
      <c r="C29" s="2" t="s">
        <v>580</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L39" sqref="L39"/>
    </sheetView>
  </sheetViews>
  <sheetFormatPr defaultColWidth="9.14285714285714" defaultRowHeight="15"/>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9</vt:i4>
      </vt:variant>
    </vt:vector>
  </HeadingPairs>
  <TitlesOfParts>
    <vt:vector size="9" baseType="lpstr">
      <vt:lpstr>Ý tưởng chung</vt:lpstr>
      <vt:lpstr>Giai đoạn phát triên</vt:lpstr>
      <vt:lpstr>Combat mechanic</vt:lpstr>
      <vt:lpstr>Termynology</vt:lpstr>
      <vt:lpstr>dummy Combat power</vt:lpstr>
      <vt:lpstr>Item</vt:lpstr>
      <vt:lpstr>Formula</vt:lpstr>
      <vt:lpstr>status</vt:lpstr>
      <vt:lpstr>Character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2026-10-10T00:01:00Z</dcterms:created>
  <dcterms:modified xsi:type="dcterms:W3CDTF">2026-10-21T15:57:20Z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D61A04A6F72B4F3E94F4E259A7C78199_12</vt:lpwstr>
  </property>
  <property fmtid="{D5CDD505-2E9C-101B-9397-08002B2CF9AE}" pid="3" name="KSOProductBuildVer">
    <vt:lpwstr>1033-12.9.0.21549</vt:lpwstr>
  </property>
</Properties>
</file>