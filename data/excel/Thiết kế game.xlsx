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firstSheet="3" activeTab="7"/>
  </bookViews>
  <sheets>
    <sheet name="Ý tưởng chung" sheetId="1" r:id="rId1"/>
    <sheet name="Giai đoạn phát triên" sheetId="2" r:id="rId2"/>
    <sheet name="Combat Mechanics" sheetId="3" r:id="rId3"/>
    <sheet name="Terminology" sheetId="4" r:id="rId4"/>
    <sheet name="Balanced Dummy " sheetId="5" r:id="rId5"/>
    <sheet name="Item" sheetId="7" r:id="rId6"/>
    <sheet name="status" sheetId="8" r:id="rId7"/>
    <sheet name="Warrior class" sheetId="13" r:id="rId8"/>
    <sheet name="Destroyer class" sheetId="6" r:id="rId9"/>
    <sheet name="Soldier class" sheetId="17" r:id="rId10"/>
    <sheet name="Devastator class" sheetId="15" r:id="rId11"/>
    <sheet name="Piercer class" sheetId="16" r:id="rId12"/>
    <sheet name="Ranger class" sheetId="12" r:id="rId13"/>
  </sheets>
  <definedNames>
    <definedName name="_xlnm._FilterDatabase" localSheetId="5" hidden="1">Item!$A$1:$P$41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s>
  <commentList>
    <comment ref="F47" authorId="0">
      <text>
        <r>
          <rPr>
            <b/>
            <sz val="9"/>
            <rFont val="Times New Roman"/>
            <charset val="0"/>
          </rPr>
          <t>Admin:</t>
        </r>
        <r>
          <rPr>
            <sz val="9"/>
            <rFont val="Times New Roman"/>
            <charset val="0"/>
          </rPr>
          <t xml:space="preserve">
bù CP cho S1.1.4
</t>
        </r>
      </text>
    </comment>
    <comment ref="H47" authorId="0">
      <text>
        <r>
          <rPr>
            <b/>
            <sz val="9"/>
            <rFont val="Times New Roman"/>
            <charset val="0"/>
          </rPr>
          <t>Admin:</t>
        </r>
        <r>
          <rPr>
            <sz val="9"/>
            <rFont val="Times New Roman"/>
            <charset val="0"/>
          </rPr>
          <t xml:space="preserve">
tươmg đương 100 AP = 5000 CP + 1 action slot = 2486 CP
</t>
        </r>
      </text>
    </comment>
    <comment ref="F49" authorId="0">
      <text>
        <r>
          <rPr>
            <b/>
            <sz val="9"/>
            <rFont val="Times New Roman"/>
            <charset val="0"/>
          </rPr>
          <t>Admin:</t>
        </r>
        <r>
          <rPr>
            <sz val="9"/>
            <rFont val="Times New Roman"/>
            <charset val="0"/>
          </rPr>
          <t xml:space="preserve">
bù CP cho 3 node đằng sau
</t>
        </r>
      </text>
    </comment>
    <comment ref="G49" authorId="0">
      <text>
        <r>
          <rPr>
            <b/>
            <sz val="9"/>
            <rFont val="Times New Roman"/>
            <charset val="0"/>
          </rPr>
          <t xml:space="preserve">Admin:
</t>
        </r>
        <r>
          <rPr>
            <sz val="9"/>
            <rFont val="Times New Roman"/>
            <charset val="0"/>
          </rPr>
          <t xml:space="preserve">=100AP + 1 action slot = 5000+2486 CP
</t>
        </r>
      </text>
    </comment>
    <comment ref="H49" authorId="0">
      <text>
        <r>
          <rPr>
            <b/>
            <sz val="9"/>
            <rFont val="Times New Roman"/>
            <charset val="0"/>
          </rPr>
          <t>Admin:</t>
        </r>
        <r>
          <rPr>
            <sz val="9"/>
            <rFont val="Times New Roman"/>
            <charset val="0"/>
          </rPr>
          <t xml:space="preserve">
+1 skill level
</t>
        </r>
      </text>
    </comment>
    <comment ref="F50" authorId="0">
      <text>
        <r>
          <rPr>
            <b/>
            <sz val="9"/>
            <rFont val="Times New Roman"/>
            <charset val="0"/>
          </rPr>
          <t>Admin:</t>
        </r>
        <r>
          <rPr>
            <sz val="9"/>
            <rFont val="Times New Roman"/>
            <charset val="0"/>
          </rPr>
          <t xml:space="preserve">
special node
</t>
        </r>
      </text>
    </comment>
  </commentList>
</comments>
</file>

<file path=xl/comments2.xml><?xml version="1.0" encoding="utf-8"?>
<comments xmlns="http://schemas.openxmlformats.org/spreadsheetml/2006/main">
  <authors>
    <author>Admin</author>
  </authors>
  <commentList>
    <comment ref="E41" authorId="0">
      <text>
        <r>
          <rPr>
            <b/>
            <sz val="9"/>
            <rFont val="Times New Roman"/>
            <charset val="0"/>
          </rPr>
          <t>Admin:</t>
        </r>
        <r>
          <rPr>
            <sz val="9"/>
            <rFont val="Times New Roman"/>
            <charset val="0"/>
          </rPr>
          <t xml:space="preserve">
bù cho 2.1.2
</t>
        </r>
      </text>
    </comment>
  </commentList>
</comments>
</file>

<file path=xl/comments3.xml><?xml version="1.0" encoding="utf-8"?>
<comments xmlns="http://schemas.openxmlformats.org/spreadsheetml/2006/main">
  <authors>
    <author>Admin</author>
  </authors>
  <commentList>
    <comment ref="F43" authorId="0">
      <text>
        <r>
          <rPr>
            <b/>
            <sz val="9"/>
            <rFont val="Times New Roman"/>
            <charset val="0"/>
          </rPr>
          <t>Admin:</t>
        </r>
        <r>
          <rPr>
            <sz val="9"/>
            <rFont val="Times New Roman"/>
            <charset val="0"/>
          </rPr>
          <t xml:space="preserve">
bù cp cho S2.1.3
</t>
        </r>
      </text>
    </comment>
    <comment ref="G43" authorId="0">
      <text>
        <r>
          <rPr>
            <b/>
            <sz val="9"/>
            <rFont val="Times New Roman"/>
            <charset val="0"/>
          </rPr>
          <t>Admin:</t>
        </r>
        <r>
          <rPr>
            <sz val="9"/>
            <rFont val="Times New Roman"/>
            <charset val="0"/>
          </rPr>
          <t xml:space="preserve">
=1850*2 = 3700 CP
</t>
        </r>
      </text>
    </comment>
    <comment ref="H44" authorId="0">
      <text>
        <r>
          <rPr>
            <b/>
            <sz val="9"/>
            <rFont val="Times New Roman"/>
            <charset val="0"/>
          </rPr>
          <t>Admin:</t>
        </r>
        <r>
          <rPr>
            <sz val="9"/>
            <rFont val="Times New Roman"/>
            <charset val="0"/>
          </rPr>
          <t xml:space="preserve">
CP = 1850*5=9250	</t>
        </r>
      </text>
    </comment>
  </commentList>
</comments>
</file>

<file path=xl/comments4.xml><?xml version="1.0" encoding="utf-8"?>
<comments xmlns="http://schemas.openxmlformats.org/spreadsheetml/2006/main">
  <authors>
    <author>Admin</author>
  </authors>
  <commentList>
    <comment ref="K37" authorId="0">
      <text>
        <r>
          <rPr>
            <b/>
            <sz val="9"/>
            <rFont val="Times New Roman"/>
            <charset val="0"/>
          </rPr>
          <t>Admin:</t>
        </r>
        <r>
          <rPr>
            <sz val="9"/>
            <rFont val="Times New Roman"/>
            <charset val="0"/>
          </rPr>
          <t xml:space="preserve">
base là 20%, nhưng vì chỉ có tác dụng 6/20 turn nên nhân thêm 20/6
</t>
        </r>
      </text>
    </comment>
    <comment ref="H42" authorId="0">
      <text>
        <r>
          <rPr>
            <b/>
            <sz val="9"/>
            <rFont val="Times New Roman"/>
            <charset val="0"/>
          </rPr>
          <t>Admin:</t>
        </r>
        <r>
          <rPr>
            <sz val="9"/>
            <rFont val="Times New Roman"/>
            <charset val="0"/>
          </rPr>
          <t xml:space="preserve">
dùng cách giảm chỉ số ngược lại
</t>
        </r>
      </text>
    </comment>
  </commentList>
</comments>
</file>

<file path=xl/comments5.xml><?xml version="1.0" encoding="utf-8"?>
<comments xmlns="http://schemas.openxmlformats.org/spreadsheetml/2006/main">
  <authors>
    <author>Admin</author>
  </authors>
  <commentList>
    <comment ref="C32" authorId="0">
      <text>
        <r>
          <rPr>
            <b/>
            <sz val="9"/>
            <rFont val="Times New Roman"/>
            <charset val="0"/>
          </rPr>
          <t>Admin:</t>
        </r>
        <r>
          <rPr>
            <sz val="9"/>
            <rFont val="Times New Roman"/>
            <charset val="0"/>
          </rPr>
          <t xml:space="preserve">
sát thương kì vọng trong 20 turn, so sánh với satk= 5800
</t>
        </r>
      </text>
    </comment>
    <comment ref="E41" authorId="0">
      <text>
        <r>
          <rPr>
            <b/>
            <sz val="9"/>
            <rFont val="Times New Roman"/>
            <charset val="0"/>
          </rPr>
          <t>Admin:</t>
        </r>
        <r>
          <rPr>
            <sz val="9"/>
            <rFont val="Times New Roman"/>
            <charset val="0"/>
          </rPr>
          <t xml:space="preserve">
tương đương 1 skill level, 1526 CP
</t>
        </r>
      </text>
    </comment>
    <comment ref="F41" authorId="0">
      <text>
        <r>
          <rPr>
            <b/>
            <sz val="9"/>
            <rFont val="Times New Roman"/>
            <charset val="0"/>
          </rPr>
          <t xml:space="preserve">Admin
</t>
        </r>
        <r>
          <rPr>
            <sz val="9"/>
            <rFont val="Times New Roman"/>
            <charset val="0"/>
          </rPr>
          <t xml:space="preserve">+ skill point không tăng trực tiếp sát thương vì nhân vật bị giới hạn hành động, mà tăng flexibility. do đó ko dùng skill SA để tính.mà dùng skill point để tính CP
</t>
        </r>
      </text>
    </comment>
    <comment ref="E43" authorId="0">
      <text>
        <r>
          <rPr>
            <b/>
            <sz val="9"/>
            <rFont val="Times New Roman"/>
            <charset val="0"/>
          </rPr>
          <t>Admin:</t>
        </r>
        <r>
          <rPr>
            <sz val="9"/>
            <rFont val="Times New Roman"/>
            <charset val="0"/>
          </rPr>
          <t xml:space="preserve">
bù CP cho các note khác
</t>
        </r>
      </text>
    </comment>
    <comment ref="G44" authorId="0">
      <text>
        <r>
          <rPr>
            <b/>
            <sz val="9"/>
            <rFont val="Times New Roman"/>
            <charset val="0"/>
          </rPr>
          <t>Admin:</t>
        </r>
        <r>
          <rPr>
            <sz val="9"/>
            <rFont val="Times New Roman"/>
            <charset val="0"/>
          </rPr>
          <t xml:space="preserve">
bù CP cho S2.1.4
</t>
        </r>
      </text>
    </comment>
    <comment ref="H44" authorId="0">
      <text>
        <r>
          <rPr>
            <b/>
            <sz val="9"/>
            <rFont val="Times New Roman"/>
            <charset val="0"/>
          </rPr>
          <t>Admin:</t>
        </r>
        <r>
          <rPr>
            <sz val="9"/>
            <rFont val="Times New Roman"/>
            <charset val="0"/>
          </rPr>
          <t xml:space="preserve">
tương đương 9600 CP attack stun count +1, không tính giống skill active vì đây là skill summon
</t>
        </r>
      </text>
    </comment>
    <comment ref="F45" authorId="0">
      <text>
        <r>
          <rPr>
            <b/>
            <sz val="9"/>
            <rFont val="Times New Roman"/>
            <charset val="0"/>
          </rPr>
          <t>Admin:</t>
        </r>
        <r>
          <rPr>
            <sz val="9"/>
            <rFont val="Times New Roman"/>
            <charset val="0"/>
          </rPr>
          <t xml:space="preserve">
bù CP cho S2.2.4	</t>
        </r>
      </text>
    </comment>
    <comment ref="H45" authorId="0">
      <text>
        <r>
          <rPr>
            <b/>
            <sz val="9"/>
            <rFont val="Times New Roman"/>
            <charset val="0"/>
          </rPr>
          <t>Admin:</t>
        </r>
        <r>
          <rPr>
            <sz val="9"/>
            <rFont val="Times New Roman"/>
            <charset val="0"/>
          </rPr>
          <t xml:space="preserve">
tương đương 200 AP+1 action slot
=10000+2486</t>
        </r>
      </text>
    </comment>
  </commentList>
</comments>
</file>

<file path=xl/comments6.xml><?xml version="1.0" encoding="utf-8"?>
<comments xmlns="http://schemas.openxmlformats.org/spreadsheetml/2006/main">
  <authors>
    <author>Admin</author>
  </authors>
  <commentList>
    <comment ref="C33" authorId="0">
      <text>
        <r>
          <rPr>
            <b/>
            <sz val="9"/>
            <rFont val="Times New Roman"/>
            <charset val="0"/>
          </rPr>
          <t>Admin:</t>
        </r>
        <r>
          <rPr>
            <sz val="9"/>
            <rFont val="Times New Roman"/>
            <charset val="0"/>
          </rPr>
          <t xml:space="preserve">
1 buff + 10/45 buff	
</t>
        </r>
      </text>
    </comment>
    <comment ref="G39" authorId="0">
      <text>
        <r>
          <rPr>
            <b/>
            <sz val="9"/>
            <rFont val="Times New Roman"/>
            <charset val="0"/>
          </rPr>
          <t>Admin:</t>
        </r>
        <r>
          <rPr>
            <sz val="9"/>
            <rFont val="Times New Roman"/>
            <charset val="0"/>
          </rPr>
          <t xml:space="preserve">
restore 50 AP over 10 cooldown = AP recovery +10 = 4000 CƠ
		</t>
        </r>
      </text>
    </comment>
    <comment ref="F40" authorId="0">
      <text>
        <r>
          <rPr>
            <b/>
            <sz val="9"/>
            <rFont val="Times New Roman"/>
            <charset val="0"/>
          </rPr>
          <t>Admin:</t>
        </r>
        <r>
          <rPr>
            <sz val="9"/>
            <rFont val="Times New Roman"/>
            <charset val="0"/>
          </rPr>
          <t xml:space="preserve">
bù cho S1.2.3 thiếu C
P
</t>
        </r>
      </text>
    </comment>
    <comment ref="G40" authorId="0">
      <text>
        <r>
          <rPr>
            <b/>
            <sz val="9"/>
            <rFont val="Times New Roman"/>
            <charset val="0"/>
          </rPr>
          <t>Admin:</t>
        </r>
        <r>
          <rPr>
            <sz val="9"/>
            <rFont val="Times New Roman"/>
            <charset val="0"/>
          </rPr>
          <t xml:space="preserve">
tính toán dựa trên 2 dummy satk 8270 đấu với nhau, CP = 3100</t>
        </r>
      </text>
    </comment>
    <comment ref="E42" authorId="0">
      <text>
        <r>
          <rPr>
            <b/>
            <sz val="9"/>
            <rFont val="Times New Roman"/>
            <charset val="0"/>
          </rPr>
          <t>Admin:</t>
        </r>
        <r>
          <rPr>
            <sz val="9"/>
            <rFont val="Times New Roman"/>
            <charset val="0"/>
          </rPr>
          <t xml:space="preserve">
tăng bù cho S2.2.1  và S2.3.3 thiếu CP</t>
        </r>
      </text>
    </comment>
    <comment ref="G42" authorId="0">
      <text>
        <r>
          <rPr>
            <b/>
            <sz val="9"/>
            <rFont val="Times New Roman"/>
            <charset val="0"/>
          </rPr>
          <t>Admin:</t>
        </r>
        <r>
          <rPr>
            <sz val="9"/>
            <rFont val="Times New Roman"/>
            <charset val="0"/>
          </rPr>
          <t xml:space="preserve">
tương đương unlock 1 passive nữa = 4000 CP
</t>
        </r>
      </text>
    </comment>
    <comment ref="E43" authorId="0">
      <text>
        <r>
          <rPr>
            <b/>
            <sz val="9"/>
            <rFont val="Times New Roman"/>
            <charset val="0"/>
          </rPr>
          <t>Admin:</t>
        </r>
        <r>
          <rPr>
            <sz val="9"/>
            <rFont val="Times New Roman"/>
            <charset val="0"/>
          </rPr>
          <t xml:space="preserve">
tương đương 5 skill level = 7630</t>
        </r>
      </text>
    </comment>
    <comment ref="G44" authorId="0">
      <text>
        <r>
          <rPr>
            <b/>
            <sz val="9"/>
            <rFont val="Times New Roman"/>
            <charset val="0"/>
          </rPr>
          <t>Admin:</t>
        </r>
        <r>
          <rPr>
            <sz val="9"/>
            <rFont val="Times New Roman"/>
            <charset val="0"/>
          </rPr>
          <t xml:space="preserve">
silence = 3400 CP
</t>
        </r>
      </text>
    </comment>
  </commentList>
</comments>
</file>

<file path=xl/sharedStrings.xml><?xml version="1.0" encoding="utf-8"?>
<sst xmlns="http://schemas.openxmlformats.org/spreadsheetml/2006/main" count="2085" uniqueCount="1302">
  <si>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</si>
  <si>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</si>
  <si>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</si>
  <si>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</si>
  <si>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</si>
  <si>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</si>
  <si>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</si>
  <si>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</si>
  <si>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</si>
  <si>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</si>
  <si>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</si>
  <si>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</si>
  <si>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</si>
  <si>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</si>
  <si>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</si>
  <si>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</si>
  <si>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</si>
  <si>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</si>
  <si>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</si>
  <si>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</si>
  <si>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</si>
  <si>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</si>
  <si>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</si>
  <si>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</si>
  <si>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</si>
  <si>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COMBAT MECHANICS</t>
  </si>
  <si>
    <t>Rules are grouped by calculation and battle flow. Pending Clarifications are unresolved design decisions, not new gameplay defaults.</t>
  </si>
  <si>
    <t>Section</t>
  </si>
  <si>
    <t>Rule</t>
  </si>
  <si>
    <t>Description</t>
  </si>
  <si>
    <t>1. Battle Setup &amp; Victory Objective</t>
  </si>
  <si>
    <t>Battle Setup</t>
  </si>
  <si>
    <t>Formation</t>
  </si>
  <si>
    <t>Each team has one main character and eight avatars in a 3×3 formation. The normal victory objective is to defeat the enemy main character. An experimental scenario may explicitly override this objective.</t>
  </si>
  <si>
    <t>Initial initiative</t>
  </si>
  <si>
    <t>Compare the highest individual AP value on each team at the start of battle. The team with the higher value acts first.</t>
  </si>
  <si>
    <t>Initiative tie</t>
  </si>
  <si>
    <t>If both teams have the same highest AP value, randomly determine the starting team.</t>
  </si>
  <si>
    <t>Initial cooldown</t>
  </si>
  <si>
    <t>Initialize each skill’s remaining cooldown to its applicable cooldown duration, unless an explicit effect overrides it. Each team’s initial countdown begins with its own first team turn.</t>
  </si>
  <si>
    <t>Initial resources</t>
  </si>
  <si>
    <t>Initial HP, MP, and AP follow the battle or scenario configuration. They are distinct from stat formulas; do not infer current resources from a naming convention.</t>
  </si>
  <si>
    <t>2. Stat Calculation</t>
  </si>
  <si>
    <t>Stat Calculation</t>
  </si>
  <si>
    <t>Ownership</t>
  </si>
  <si>
    <t>Calculate each character’s and each skill’s stats separately. Sum only contributions applicable to the same owner and stat. Track status creator and skill provenance without counting a contribution twice.</t>
  </si>
  <si>
    <t>Base stage</t>
  </si>
  <si>
    <t>Sum applicable Base Character, Item, Skill, Passive, and Status contributions for the owner and stat. Resolve all Base-stage conversions before calculating Modified Stat.</t>
  </si>
  <si>
    <t>Modified stage</t>
  </si>
  <si>
    <t>Modified Stat = resolved Base Stat × the sum of applicable Stat Modifiers. Modifiers add rather than multiply one another. Resolve Modified-stage conversion before calculating Total Stat.</t>
  </si>
  <si>
    <t>Total stage</t>
  </si>
  <si>
    <t>Total Stat = resolved Base Stat + resolved Modified Stat. Resolve Total-stage conversion before applying Stat Effectiveness.</t>
  </si>
  <si>
    <t>Final stage</t>
  </si>
  <si>
    <t>Final Stat = resolved Total Stat × the Effectiveness of that specific stat. Resolve Final-stage conversion before the result is used in combat.</t>
  </si>
  <si>
    <t>Source-specific modifiers</t>
  </si>
  <si>
    <t>A modifier uses the owner’s aggregated Base Stat at the resolved Base stage, regardless of whether the modifier comes from character, item, passive, skill, or status.</t>
  </si>
  <si>
    <t>Signed adjustments</t>
  </si>
  <si>
    <t>Modified Stat may be negative because of negative modifiers. Conversion’s 100% limit prevents over-conversion; it does not prohibit negative modifiers. AP may become negative under action rules.</t>
  </si>
  <si>
    <t>Stat-specific exceptions</t>
  </si>
  <si>
    <t>Resources, allocation counts, and effect parameters follow their explicit rules. The naming convention does not automatically authorize every modifier or conversion for every stat.</t>
  </si>
  <si>
    <t>3. Stat Conversion</t>
  </si>
  <si>
    <t>Stat Conversion</t>
  </si>
  <si>
    <t>Stage preservation</t>
  </si>
  <si>
    <t>Converts one stat into another at the same stage: Base → Base, Modified → Modified, Total → Total, or Final → Final. Add the destination gain at that stage before proceeding through the remaining pipeline.</t>
  </si>
  <si>
    <t>Automatic amount</t>
  </si>
  <si>
    <t>Automatically requests the maximum conversion percentage specified by the active effect at its current level. The cumulative 100% source limit may reduce the amount actually converted.</t>
  </si>
  <si>
    <t>Execution order</t>
  </si>
  <si>
    <t>Process conversions in the order stated by their source effect. Earlier conversions resolve before later ones. Do not change that order to optimize the result.</t>
  </si>
  <si>
    <t>Source reference</t>
  </si>
  <si>
    <t>When an ordered sequence first processes a source stat, establish its current value at that stage as the source reference, including earlier conversions already resolved into it. All percentage allocations from that source in the evaluation use this reference, not a shrinking remainder.</t>
  </si>
  <si>
    <t>Percentage limit</t>
  </si>
  <si>
    <t>Track used conversion percentage separately for each owner, source stat, and stage. Effective Percentage = MIN(Requested Percentage, 100% − Used Percentage). Once used percentage reaches 100%, subsequent conversions from that source at that stage have no effect.</t>
  </si>
  <si>
    <t>Source deduction</t>
  </si>
  <si>
    <t>Converted Amount = Source Reference × Effective Percentage. Source After = Source Before This Step − Converted Amount. Deduct only the source amount, not the destination gain after applying the rate.</t>
  </si>
  <si>
    <t>Destination gain</t>
  </si>
  <si>
    <t>Destination After = Destination Before This Step + Converted Amount × Conversion Rate. Apply the destination’s remaining pipeline stages normally; do not reapply already completed stages.</t>
  </si>
  <si>
    <t>Chained conversions</t>
  </si>
  <si>
    <t>A later conversion may use the resolved output of an earlier conversion when the effect specifies that sequence. Keep the source budget and execution order; this does not start a repeated conversion loop.</t>
  </si>
  <si>
    <t>Passive recalculation</t>
  </si>
  <si>
    <t>Continuous passive conversion uses current values. Recalculate affected stats and conversions whenever relevant contributions, modifiers, levels, Effectiveness, or active effects change, including when a source buff expires.</t>
  </si>
  <si>
    <t>Fresh evaluation</t>
  </si>
  <si>
    <t>Rebuild from the current underlying contributions and active effects. Do not add conversion gains to a previous evaluation’s converted results, or repeatedly deduct the previous converted amounts.</t>
  </si>
  <si>
    <t>Loop prevention</t>
  </si>
  <si>
    <t>Process each applicable conversion once in the defined sequence per evaluation. Do not restart completed conversions because their destination feeds another conversion. One genuine state change starts a fresh evaluation, not an internal endless loop.</t>
  </si>
  <si>
    <t>Signed source values</t>
  </si>
  <si>
    <t>The 100% limit also prevents converting past the full magnitude of a signed source value. Negative Modified Stat from debuffs is not clamped to zero by this rule; do not treat a negative value as a positive bonus.</t>
  </si>
  <si>
    <t>4. Turn Sequence</t>
  </si>
  <si>
    <t>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</si>
  <si>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</si>
  <si>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</si>
  <si>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</si>
  <si>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</si>
  <si>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</si>
  <si>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</si>
  <si>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</si>
  <si>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</si>
  <si>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</si>
  <si>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</si>
  <si>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</si>
  <si>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</si>
  <si>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Start of turn</t>
  </si>
  <si>
    <t>Resolve effects explicitly triggered at the start of this global/team turn. Recover AP for the acting team before assigning initial action slots. The relative order of simultaneous start-of-turn effects requires an explicit rule; see Pending Clarifications.</t>
  </si>
  <si>
    <t>Action phase</t>
  </si>
  <si>
    <t>Use, transfer, interrupt, or end assigned slots under the action rules. Extra actions do not advance the global turn counter.</t>
  </si>
  <si>
    <t>End of turn</t>
  </si>
  <si>
    <t>Resolve end-of-turn effects, effect expiration, and cooldown recovery at their specified timing. Duration counts the application turn. Relative ordering at the same boundary requires an explicit rule; see Pending Clarifications.</t>
  </si>
  <si>
    <t>No-action turns</t>
  </si>
  <si>
    <t>A turn with no eligible actors or remaining slots still progresses through applicable timed effects and cooldown recovery. It counts toward the opening slot sequence.</t>
  </si>
  <si>
    <t>5. AP &amp; Action Slots</t>
  </si>
  <si>
    <t>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</si>
  <si>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</si>
  <si>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</si>
  <si>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</si>
  <si>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</si>
  <si>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</si>
  <si>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</si>
  <si>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</si>
  <si>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</si>
  <si>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</si>
  <si>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</si>
  <si>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</si>
  <si>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</si>
  <si>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</si>
  <si>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</si>
  <si>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</si>
  <si>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initial allocation</t>
  </si>
  <si>
    <t>The initial slot count is determined at turn start. Later AP changes do not create initial slots. Explicit skill effects may preserve or grant slots only as stated by those effects.</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</si>
  <si>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</si>
  <si>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</si>
  <si>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</si>
  <si>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skip voluntary actions and proceed to turn-end processing. Start/end effects and cooldown rules still apply.</t>
  </si>
  <si>
    <t>Holding a Slot</t>
  </si>
  <si>
    <t>AP after assignment</t>
  </si>
  <si>
    <t>Later AP changes do not revoke an assigned slot.</t>
  </si>
  <si>
    <t>Continued actions</t>
  </si>
  <si>
    <t>The holder may continue acting with less than 100 AP or negative AP until the slot is transferred, ended, or interrupted.</t>
  </si>
  <si>
    <t>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</si>
  <si>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</si>
  <si>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</si>
  <si>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</si>
  <si>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</si>
  <si>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</si>
  <si>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</si>
  <si>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</si>
  <si>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</si>
  <si>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</si>
  <si>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</si>
  <si>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Slot Interruption</t>
  </si>
  <si>
    <t>Interruption</t>
  </si>
  <si>
    <t>If the holder dies, is stunned, or suffers another slot-interrupting effect before transferring the slot, that slot is lost and cannot be transferred afterward.</t>
  </si>
  <si>
    <t>6. Voluntary Actions</t>
  </si>
  <si>
    <t>Normal Attack</t>
  </si>
  <si>
    <t>AP cost</t>
  </si>
  <si>
    <t>A normal attack costs 100 AP. Modifiers may affect the cost or resulting AP.</t>
  </si>
  <si>
    <t>Slot result</t>
  </si>
  <si>
    <t>Attacking ends the current action slot.</t>
  </si>
  <si>
    <t>Voluntary Skill Cast</t>
  </si>
  <si>
    <t>AP cost depends on the skill. A character may use a skill costing more than their current AP, resulting in negative AP.</t>
  </si>
  <si>
    <t>A voluntary skill cast using the current action slot ends that slot unless an explicit skill effect states otherwise. Auto-Cast does not consume a slot.</t>
  </si>
  <si>
    <t>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</si>
  <si>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</si>
  <si>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</si>
  <si>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</si>
  <si>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</si>
  <si>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</si>
  <si>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</si>
  <si>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</si>
  <si>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</si>
  <si>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</si>
  <si>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</si>
  <si>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</si>
  <si>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</si>
  <si>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</si>
  <si>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</si>
  <si>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</si>
  <si>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</si>
  <si>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</si>
  <si>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</si>
  <si>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</si>
  <si>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Stat effect</t>
  </si>
  <si>
    <t>While Defend is active, Defense Effectiveness and Skill Defense Effectiveness each gain +50 percentage points.</t>
  </si>
  <si>
    <t>Duration</t>
  </si>
  <si>
    <t>Defend lasts 2 global turns under the standard Duration rules, including its application turn. It has expired before the start of this team’s next turn in the normal alternating sequence.</t>
  </si>
  <si>
    <t>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</si>
  <si>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</si>
  <si>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</si>
  <si>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</si>
  <si>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</si>
  <si>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Turn End</t>
  </si>
  <si>
    <t>No remaining slots</t>
  </si>
  <si>
    <t>The team turn ends when no active action slots remain.</t>
  </si>
  <si>
    <t>Failed defensive transfer</t>
  </si>
  <si>
    <t>A failed defensive transfer ends the team turn only if no active action slots remain.</t>
  </si>
  <si>
    <t>7. Passive &amp; Auto-Cast</t>
  </si>
  <si>
    <t>Passive</t>
  </si>
  <si>
    <t>Definition</t>
  </si>
  <si>
    <t>A skill or effect that operates automatically while its specified conditions are met. Requires no manual activation.</t>
  </si>
  <si>
    <t>Activation</t>
  </si>
  <si>
    <t>Passive effects may be continuous or triggered by a specified event. Apply only while their requirements are satisfied.</t>
  </si>
  <si>
    <t>Casting</t>
  </si>
  <si>
    <t>A passive effect is not a cast unless it explicitly uses Auto-Cast. Passive stat bonuses do not trigger When Casting.</t>
  </si>
  <si>
    <t>Action restrictions</t>
  </si>
  <si>
    <t>Losing the ability to act does not automatically disable passives. An effect must explicitly disable passive skills to prevent them from operating.</t>
  </si>
  <si>
    <t>Auto-Cast</t>
  </si>
  <si>
    <t>Automatically casts a skill when its specified trigger occurs and all casting requirements are met.</t>
  </si>
  <si>
    <t>Action slot</t>
  </si>
  <si>
    <t>Requires no action slot and does not consume an existing action slot.</t>
  </si>
  <si>
    <t>Costs</t>
  </si>
  <si>
    <t>Applies the skill’s listed costs. A cost that is not specified is not charged. If a required cost cannot be paid under the resource rules, the skill is not cast.</t>
  </si>
  <si>
    <t>Cooldown assignment</t>
  </si>
  <si>
    <t>The skill must be ready. When its cast is committed, assign cooldown before resolving effects, exactly as for other casts. A skipped cast does not start cooldown.</t>
  </si>
  <si>
    <t>Targeting</t>
  </si>
  <si>
    <t>Selects valid targets according to the skill’s targeting rules. If no valid target exists, the skill is not cast.</t>
  </si>
  <si>
    <t>Resolution</t>
  </si>
  <si>
    <t>Applies the skill’s effects and duration normally and triggers When Casting.</t>
  </si>
  <si>
    <t>Existing effects</t>
  </si>
  <si>
    <t>A failed or skipped cast does not remove previously applied effects. Those effects remain until they expire or are removed.</t>
  </si>
  <si>
    <t>Resource rules</t>
  </si>
  <si>
    <t>Listed AP costs may create AP debt under the normal AP rules. Listed MP costs must be payable. A cost not specified is not charged. Auto-Cast requires no action slot regardless of listed AP cost.</t>
  </si>
  <si>
    <t>Passive &amp; Auto-Cast</t>
  </si>
  <si>
    <t>Trigger specification</t>
  </si>
  <si>
    <t>A skill must identify when it activates. Auto-Cast alone is not a timing instruction; the skill or a global rule must state its trigger. Continuous passive stat effects recalculate under Stat Calculation rather than repeatedly casting.</t>
  </si>
  <si>
    <t>8. Targeting, Damage, Healing &amp; Events</t>
  </si>
  <si>
    <t>Weapon and skill scope</t>
  </si>
  <si>
    <t>Normal attacks use the weapon’s targeting, area, and secondary-target rules from Item. Skills use their own targeting and area. Weapon area and secondary-target penalties do not automatically apply to skills.</t>
  </si>
  <si>
    <t>Primary versus secondary</t>
  </si>
  <si>
    <t>Primary targets are explicitly selected; area recipients are secondary. When Targeting and When Being Targeted refer to selected primary targets. Recipient-level hit/skill effects apply according to their own definitions.</t>
  </si>
  <si>
    <t>Hit generation</t>
  </si>
  <si>
    <t>Only normal attacks generate hits using Multi-Hit Rate. Each affected recipient receives a hit check. Resolve Crit and Penetration independently for each landed hit; both may succeed.</t>
  </si>
  <si>
    <t>Mitigation and critical damage</t>
  </si>
  <si>
    <t>For a landed hit, use zero mitigation if Penetration succeeds; otherwise use the target’s Final Defense mitigation. A critical hit multiplies damage by 1 + Final Critical Damage Bonus. Apply other damage adjustments and the weapon’s final secondary-target damage penalty as specified.</t>
  </si>
  <si>
    <t>Offensive Cast</t>
  </si>
  <si>
    <t>Skill calculation</t>
  </si>
  <si>
    <t>Use the casting skill’s Final SATK and each recipient’s Final Skill Defense mitigation. Skill effects do not generate normal hits or inherit normal-attack Multi-Hit, Crit, or Penetration without an explicit exception.</t>
  </si>
  <si>
    <t>Healing</t>
  </si>
  <si>
    <t>Pipeline and recipient</t>
  </si>
  <si>
    <t>First calculate the skill’s Final Heal, including applicable Effectiveness and conversion. Then apply the recipient’s Final Healing Amplification and cap healing at missing HP. Do not use Base Heal as the final healing amount.</t>
  </si>
  <si>
    <t>Events</t>
  </si>
  <si>
    <t>Cast commitment</t>
  </si>
  <si>
    <t>When Casting occurs when a valid cast is committed, before its effects resolve. Costs and cooldown follow the cast rules. A passive bonus without a cast does not generate this event.</t>
  </si>
  <si>
    <t>Landed attack scope</t>
  </si>
  <si>
    <t>When Attacking / When Being Attacked require at least one landed normal hit and occur once at action scope. When Hitting / When Being Hit occur separately for each landed hit on a recipient.</t>
  </si>
  <si>
    <t>Skill effect scope</t>
  </si>
  <si>
    <t>When Casting Offensively / When Receiving an Offensive Cast require a direct offensive strike. When Affected by a Skill includes direct damage, healing, or buffs/debuffs, for primary and secondary recipients. Use Terminology for exact scope.</t>
  </si>
  <si>
    <t>Repeated Effects</t>
  </si>
  <si>
    <t>DOT and transferred damage</t>
  </si>
  <si>
    <t>DOT ticks and transferred damage do not create new attacks, hits, or casts. They do not retrigger the receiving events defined for those actions. Follow status-specific timing and stacking rules.</t>
  </si>
  <si>
    <t>Status Application</t>
  </si>
  <si>
    <t>Duration and stat changes</t>
  </si>
  <si>
    <t>Use each skill/status definition for effect magnitude, duration, refresh, and stacking. Recalculate affected passive stats when a status changes or expires. Skills can specify exceptions to general rules.</t>
  </si>
  <si>
    <t>9. Duration &amp; Cooldown</t>
  </si>
  <si>
    <t>Effect Duration</t>
  </si>
  <si>
    <t>Default unit</t>
  </si>
  <si>
    <t>Unless explicitly stated otherwise, duration is measured in global turns.</t>
  </si>
  <si>
    <t>Application</t>
  </si>
  <si>
    <t>An effect becomes active when applied. Its application turn counts as the first turn of its duration, regardless of when during that turn it is applied.</t>
  </si>
  <si>
    <t>Expiration</t>
  </si>
  <si>
    <t>An effect with duration D, applied on global turn T, remains active through global turn T + D − 1 and expires at the end of that turn.</t>
  </si>
  <si>
    <t>Duration refresh</t>
  </si>
  <si>
    <t>For effects that allow refreshing, reapplication on global turn R resets expiration to the end of global turn R + D − 1.</t>
  </si>
  <si>
    <t>Trigger timing</t>
  </si>
  <si>
    <t>An effect must already be active when its trigger occurs. Applying an effect after that trigger does not activate it retroactively.</t>
  </si>
  <si>
    <t>A skill's duration applies to all timed effects it applies, unless an effect explicitly specifies a different duration.</t>
  </si>
  <si>
    <t>Skill Cooldown</t>
  </si>
  <si>
    <t>Each character tracks a separate remaining cooldown for each skill, measured in global turns and governed by the Effect Duration rules.</t>
  </si>
  <si>
    <t>On cast</t>
  </si>
  <si>
    <t>When a skill cast is committed, set its remaining cooldown to the applicable cooldown duration before resolving its effects. The casting turn counts as the first cooldown turn.</t>
  </si>
  <si>
    <t>Readiness</t>
  </si>
  <si>
    <t>A skill is ready when its remaining cooldown reaches 0. Readiness does not bypass MP requirements, usage conditions, or action-slot requirements where applicable.</t>
  </si>
  <si>
    <t>Reuse</t>
  </si>
  <si>
    <t>If a skill becomes ready during a team turn through an explicit cooldown-reduction effect, it may be used again that turn, subject to its normal requirements. Each cast starts a new cooldown.</t>
  </si>
  <si>
    <t>Cooldown Recovery</t>
  </si>
  <si>
    <t>Default timing</t>
  </si>
  <si>
    <t>first default cooldown recovery occurs at the end of first global turn. Thereafter, recovery occurs at the end of every global turn, including the opposing team's turns.</t>
  </si>
  <si>
    <t>Default amount</t>
  </si>
  <si>
    <t>Each default recovery reduces remaining cooldown by 1. Remaining cooldown cannot fall below 0; excess recovery is discarded.</t>
  </si>
  <si>
    <t>Scope</t>
  </si>
  <si>
    <t>Default recovery applies to all skills of living characters, regardless of AP or action eligibility. Turns without actions still count.</t>
  </si>
  <si>
    <t>Action independence</t>
  </si>
  <si>
    <t>Additional actions, hits, or casts do not grant additional default recovery. Recovery grants no AP or action slots.</t>
  </si>
  <si>
    <t>Remaining cooldown modifiers</t>
  </si>
  <si>
    <t>Effects that directly change remaining cooldown apply immediately, according to their specified timing and scope.</t>
  </si>
  <si>
    <t>Duration modifiers</t>
  </si>
  <si>
    <t>Changes to cooldown duration affect subsequent cooldown assignments. They do not change an existing remaining cooldown unless explicitly stated.</t>
  </si>
  <si>
    <t>Recovery modifiers</t>
  </si>
  <si>
    <t>Changes to cooldown recovery affect subsequent recovery events according to their specified amount, timing, and scope.</t>
  </si>
  <si>
    <t>10. Death &amp; Battle End</t>
  </si>
  <si>
    <t>Death</t>
  </si>
  <si>
    <t>Action-slot consequence</t>
  </si>
  <si>
    <t>A character’s held slot is lost on death under Slot Interruption. Any explicit on-death or revival effect follows its own trigger, conditions, and duration.</t>
  </si>
  <si>
    <t>Battle End</t>
  </si>
  <si>
    <t>The battle-ending condition takes priority over remaining actions and slots.</t>
  </si>
  <si>
    <t>Victory objective</t>
  </si>
  <si>
    <t>Defeat the opposing team's main character to win.</t>
  </si>
  <si>
    <t>Pending revival</t>
  </si>
  <si>
    <t>The normal main-death victory condition has priority over later actions. A revival scheduled for a later global turn cannot occur after the battle has already ended unless an explicit rule overrides battle-end priority.</t>
  </si>
  <si>
    <t>11. Pending Clarifications — Not New Defaults</t>
  </si>
  <si>
    <t>Pending Clarification</t>
  </si>
  <si>
    <t>Simultaneous start effects</t>
  </si>
  <si>
    <t>Define the order between revival, multiple Auto-Casts, and AP recovery at the same turn boundary, including ties across different sources. The existing rules fix AP recovery before slot assignment but not a complete simultaneous-event order.</t>
  </si>
  <si>
    <t>Simultaneous end effects</t>
  </si>
  <si>
    <t>Define the order between end-of-turn DOT/effects, expiration, cooldown recovery, and their triggered consequences. Effects remain active through their final global turn under Duration; do not assume an undocumented priority between events at that boundary.</t>
  </si>
  <si>
    <t>Independent conversion sources</t>
  </si>
  <si>
    <t>Within one source effect, follow its written order. A tie-breaking priority between independent effects converting the same source stat is not yet specified and must not be inferred from sheet row order.</t>
  </si>
  <si>
    <t>12. Coordinated attack</t>
  </si>
  <si>
    <t>Coordinated Attack</t>
  </si>
  <si>
    <t>Allows another character to perform a follow-up normal attack against the initiating attack’s primary target.</t>
  </si>
  <si>
    <t>Resolution Order</t>
  </si>
  <si>
    <t>Fully resolve the initiating normal attack, including all hits, before resolving the coordinated attack.</t>
  </si>
  <si>
    <t>Resource Cost</t>
  </si>
  <si>
    <t>The coordinating character pays the same resource costs as their own normal attack. If they cannot pay those costs, the coordinated attack does not occur.</t>
  </si>
  <si>
    <t>Attack Calculation</t>
  </si>
  <si>
    <t>Use the coordinating character’s own stats, weapon area, and normal attack rules. Resolve their Multi-Hit Rate, Accuracy, Critical Hit Chance, and Penetration Chance normally.</t>
  </si>
  <si>
    <t>Trigger Conditions</t>
  </si>
  <si>
    <t>The source defines the activation conditions, trigger chance, and eligible coordinating characters.</t>
  </si>
  <si>
    <t>13. Block and Counter attack</t>
  </si>
  <si>
    <t>Block</t>
  </si>
  <si>
    <t>Negates the damage of an incoming normal-attack hit when the Block check succeeds. The source specifies the chance and eligible attacks.</t>
  </si>
  <si>
    <t>Check Block after Accuracy and Evasion determine that the hit lands. Missed hits do not trigger a Block check.</t>
  </si>
  <si>
    <t>Blocks only the individual hit’s damage, not the entire normal attack. Check each eligible hit separately.</t>
  </si>
  <si>
    <t>Hit Effects</t>
  </si>
  <si>
    <t>A blocked hit still counts as landed. Applicable hit effects and When Hitting / When Being Hit triggers resolve normally unless explicitly prevented.</t>
  </si>
  <si>
    <t>Penetration</t>
  </si>
  <si>
    <t>Penetration bypasses Defense, not Block. A penetrating hit can still be blocked.</t>
  </si>
  <si>
    <t>Counterattack</t>
  </si>
  <si>
    <t>Performs one retaliatory normal-attack hit against the attacker that triggered it. The source specifies the trigger event, chance, and eligibility conditions.</t>
  </si>
  <si>
    <t>Hit-based Timing</t>
  </si>
  <si>
    <t>When triggered by a hit, resolve the counterattack immediately after that hit and its effects resolve, before the initiating attacker proceeds to the next hit.</t>
  </si>
  <si>
    <t>Attack-based Timing</t>
  </si>
  <si>
    <t>When triggered by an attack, resolve the counterattack immediately after that attack and its effects finish resolving.</t>
  </si>
  <si>
    <t>Costs no AP. Other applicable normal-attack resource costs still apply. If those required costs cannot be paid, the counterattack does not occur.</t>
  </si>
  <si>
    <t>Hit Count</t>
  </si>
  <si>
    <t>Performs one hit without using Multi-Hit Rate to generate additional hits.</t>
  </si>
  <si>
    <t>Primary Target</t>
  </si>
  <si>
    <t>Targets the attacker responsible for the triggering event.</t>
  </si>
  <si>
    <t>Ranged Area</t>
  </si>
  <si>
    <t>For Piercer, Ranger, Devastator, and Caster, use the counterattacker’s normal weapon area and sub-target damage penalties, centered on the triggering attacker.</t>
  </si>
  <si>
    <t>Melee Area</t>
  </si>
  <si>
    <t>For Warrior, Destroyer, and Soldier, affects only the triggering attacker. Does not apply the weapon’s secondary-target area.</t>
  </si>
  <si>
    <t>Damage and Hit Effects</t>
  </si>
  <si>
    <t>Uses the counterattacker’s own stats. Resolve Accuracy, Evasion, Critical Hit Chance, Penetration, damage, and applicable normal-hit effects and triggers normally for each affected recipient.</t>
  </si>
  <si>
    <t>Resolve counterattack damage and effects before resuming the initiating attack. Death or an effect that prevents further attacks can stop the initiating attacker’s remaining hits.</t>
  </si>
  <si>
    <t>Chain Prevention</t>
  </si>
  <si>
    <t>A counterattack cannot trigger another counterattack. Other applicable hit effects and triggers resolve normally.</t>
  </si>
  <si>
    <t>TERMINOLOGY</t>
  </si>
  <si>
    <t>Single reference for naming, ownership, stat formulas and event definitions. Execution order is defined in Combat Mechanics.</t>
  </si>
  <si>
    <t>Term</t>
  </si>
  <si>
    <t>Symbol</t>
  </si>
  <si>
    <t>Unit</t>
  </si>
  <si>
    <t>Formula</t>
  </si>
  <si>
    <t>1. Naming, Ownership &amp; Scope</t>
  </si>
  <si>
    <t>Stat</t>
  </si>
  <si>
    <t>X</t>
  </si>
  <si>
    <t>Depends on X</t>
  </si>
  <si>
    <t/>
  </si>
  <si>
    <t>A numerical attribute of a character, item, skill, or effect used to determine gameplay outcomes.</t>
  </si>
  <si>
    <t>Calculation Stage</t>
  </si>
  <si>
    <t>STG</t>
  </si>
  <si>
    <t>N/A</t>
  </si>
  <si>
    <t>The calculation step: Base, Modified, Total, or Final. A conversion preserves the stage of the transferred stat.</t>
  </si>
  <si>
    <t>Stat Owner</t>
  </si>
  <si>
    <t>OWNER</t>
  </si>
  <si>
    <t>The specific character or skill whose stat is being calculated. Combine contributions only when both owner and stat match; different skills maintain separate SATK, Heal, and other skill stats.</t>
  </si>
  <si>
    <t>Stat Source</t>
  </si>
  <si>
    <t>SRC</t>
  </si>
  <si>
    <t>The direct origin of a contribution: Character, Item, Skill, Passive, or Status. The creator of a buff is provenance, not an additional contribution. Count each contribution once.</t>
  </si>
  <si>
    <t>[Stage] [Source] [Stat]</t>
  </si>
  <si>
    <t>STG_SRC_X</t>
  </si>
  <si>
    <t>Same as X</t>
  </si>
  <si>
    <t>Determined by the stage rule.</t>
  </si>
  <si>
    <t>A specific source’s contribution to a stat at a calculation stage. Example: Base Character Attack. This naming pattern does not require every stat to exist at every stage or source.</t>
  </si>
  <si>
    <t>[Stage] [Stat]</t>
  </si>
  <si>
    <t>STG_X</t>
  </si>
  <si>
    <t>For additive contributions: STG_X = Σ STG_SRC_X</t>
  </si>
  <si>
    <t>The combined value at a stage for one owner and stat. Omitting Source includes all applicable contributions. Base and Modified contributions add; Total and Final follow the pipeline.</t>
  </si>
  <si>
    <t>[Source] [Stat] Modifier</t>
  </si>
  <si>
    <t>SRC_MOD_X</t>
  </si>
  <si>
    <t>%</t>
  </si>
  <si>
    <t>MOD_X = Σ SRC_MOD_X</t>
  </si>
  <si>
    <t>A source-specific percentage adjustment to aggregated Base Stat X. Modifier is a coefficient, not a Stage or Source. Omitting Source means the sum of applicable modifiers.</t>
  </si>
  <si>
    <t>Formula Scope</t>
  </si>
  <si>
    <t>Stage formulas initialize that stage. Resolve conversion at that stage before continuing; subsequent formulas use the resolved values. See Combat Mechanics: Stat Calculation and Stat Conversion.</t>
  </si>
  <si>
    <t>Percentage Notation</t>
  </si>
  <si>
    <t>100% = 1; 20% = 0.2</t>
  </si>
  <si>
    <t>Percentages are stored as fractions in calculations. A bonus of +20 percentage points differs from multiplying a percentage stat by 1.2.</t>
  </si>
  <si>
    <t>2. Base Stat Sources</t>
  </si>
  <si>
    <t>Base Character Stat</t>
  </si>
  <si>
    <t>B_C_X</t>
  </si>
  <si>
    <t>Defined by character data.</t>
  </si>
  <si>
    <t>The character’s original base contribution, before other sources, modifiers, Effectiveness, and conversion.</t>
  </si>
  <si>
    <t>Base Item Stat</t>
  </si>
  <si>
    <t>B_I_X</t>
  </si>
  <si>
    <t>B_I_X = Σ Applicable Item Base Contributions</t>
  </si>
  <si>
    <t>Base stat contributions from equipped items.</t>
  </si>
  <si>
    <t>Base Skill Stat</t>
  </si>
  <si>
    <t>B_S_X</t>
  </si>
  <si>
    <t>Defined by the skill’s formula and level.</t>
  </si>
  <si>
    <t>The original value of a stat belonging to a specific skill, including passive skills. It is not added to another skill’s stats or to character Attack merely because it comes from a skill.</t>
  </si>
  <si>
    <t>Base Passive Stat</t>
  </si>
  <si>
    <t>B_P_X</t>
  </si>
  <si>
    <t>B_P_X = Σ Applicable Passive Base Bonuses</t>
  </si>
  <si>
    <t>Direct base bonuses granted to the relevant owner by passive effects or upgrades. A passive skill’s own SATK or Heal remains a Base Skill Stat.</t>
  </si>
  <si>
    <t>Base Status Stat</t>
  </si>
  <si>
    <t>B_ST_X</t>
  </si>
  <si>
    <t>B_ST_X = Σ Applicable Active Status Base Contributions</t>
  </si>
  <si>
    <t>Base bonuses or penalties supplied by active statuses, including buffs from allies. Count under Status, not again under the casting skill. Contributions last only while the status applies.</t>
  </si>
  <si>
    <t>3. Stat Calculation Pipeline</t>
  </si>
  <si>
    <t>Base Stat</t>
  </si>
  <si>
    <t>B_X</t>
  </si>
  <si>
    <t>B_X = Σ Applicable Base Contributions</t>
  </si>
  <si>
    <t>The aggregated base value for one owner and stat. Resolve Base-stage conversion before calculating Modified Stat. Replaces the old term Total Base Stat.</t>
  </si>
  <si>
    <t>Stat Modifier</t>
  </si>
  <si>
    <t>MOD_X</t>
  </si>
  <si>
    <t>MOD_X = Σ Applicable Stat Modifiers</t>
  </si>
  <si>
    <t>The combined percentage adjustment to Base Stat X. Positive values increase it; negative values decrease it. Modifiers stack additively.</t>
  </si>
  <si>
    <t>Modified Stat</t>
  </si>
  <si>
    <t>M_X</t>
  </si>
  <si>
    <t>M_X = B_X × MOD_X</t>
  </si>
  <si>
    <t>The signed amount added to or subtracted from Base Stat by modifiers. It may be negative because of debuffs. Resolve Modified-stage conversion before calculating Total Stat. Replaces Increased Stat.</t>
  </si>
  <si>
    <t>Total Stat</t>
  </si>
  <si>
    <t>T_X</t>
  </si>
  <si>
    <t>T_X = B_X + M_X</t>
  </si>
  <si>
    <t>The sum of resolved Base and Modified values. Resolve Total-stage conversion before applying Stat Effectiveness.</t>
  </si>
  <si>
    <t>Stat Effectiveness</t>
  </si>
  <si>
    <t>SE_X</t>
  </si>
  <si>
    <t>SE_X = B_SE_X × (1 + MOD_SE_X)</t>
  </si>
  <si>
    <t>The Effectiveness multiplier for a specific stat X. Its neutral value is 100% (×1); 120% means ×1.2. Applicable modifiers adjust its base value, but Effectiveness does not multiply itself. This is a template for individual stats, not an overall attribute.</t>
  </si>
  <si>
    <t>Final Stat</t>
  </si>
  <si>
    <t>F_X</t>
  </si>
  <si>
    <t>F_X = T_X × SE_X</t>
  </si>
  <si>
    <t>The result of applying X’s Effectiveness to resolved Total Stat. Resolve any Final-stage conversion before using the value in combat. Conversion can also occur at earlier stages.</t>
  </si>
  <si>
    <t>Conversion Percentage</t>
  </si>
  <si>
    <t>CPCT</t>
  </si>
  <si>
    <t>Effective Percentage = MIN(Requested Percentage, 100% − Used Percentage)</t>
  </si>
  <si>
    <t>The portion of a source-stage reference value to transfer. Cumulative effective percentages from the same owner, source stat, and stage cannot exceed 100% in one evaluation.</t>
  </si>
  <si>
    <t>Conversion Rate</t>
  </si>
  <si>
    <t>CR</t>
  </si>
  <si>
    <t>Destination points per source point</t>
  </si>
  <si>
    <t>Destination Gain = Converted Amount × CR</t>
  </si>
  <si>
    <t>The exchange rate between source and destination stats at the same stage. Each skill or effect specifies its own rate.</t>
  </si>
  <si>
    <t>Converted Amount</t>
  </si>
  <si>
    <t>CA</t>
  </si>
  <si>
    <t>Same as source stat</t>
  </si>
  <si>
    <t>CA = Source Reference Value × Effective Percentage</t>
  </si>
  <si>
    <t>The amount deducted from the source. The reference value is established before allocating the ordered conversions from that source; rates do not reduce the source a second time.</t>
  </si>
  <si>
    <t>4. Character Stats, Skill Stats &amp; Resources</t>
  </si>
  <si>
    <t>HP (Health Points)</t>
  </si>
  <si>
    <t>HP</t>
  </si>
  <si>
    <t>Points</t>
  </si>
  <si>
    <t>MAX_HP = F_HP; apply the shared stat pipeline.</t>
  </si>
  <si>
    <t>The character's health. Current HP decreases when taking damage; the character is defeated when it reaches 0. Max HP defines the maximum health capacity.</t>
  </si>
  <si>
    <t>MP (Mana Points)</t>
  </si>
  <si>
    <t>MP</t>
  </si>
  <si>
    <t>MAX_MP = F_MP; apply the shared stat pipeline.</t>
  </si>
  <si>
    <t>A resource consumed by skills that require MP. Current MP is the available amount; Max MP defines the maximum capacity.</t>
  </si>
  <si>
    <t>Attack</t>
  </si>
  <si>
    <t>ATK</t>
  </si>
  <si>
    <t>F_ATK: apply the shared stat pipeline.</t>
  </si>
  <si>
    <t>The character’s offensive power for normal attacks and skills that explicitly scale with Attack.</t>
  </si>
  <si>
    <t>Defense</t>
  </si>
  <si>
    <t>DEF</t>
  </si>
  <si>
    <t>F_DEF: apply the shared stat pipeline.</t>
  </si>
  <si>
    <t>The character's ability to reduce incoming damage from normal attacks, according to the normal attack damage formula. Does not apply to skill damage.</t>
  </si>
  <si>
    <t>Skill Attack</t>
  </si>
  <si>
    <t>SATK</t>
  </si>
  <si>
    <t>F_SATK: apply the shared stat pipeline.</t>
  </si>
  <si>
    <t>The offensive stat belonging to a particular skill. Use that skill’s Final SATK for its damage; it does not inherently scale from character Attack.</t>
  </si>
  <si>
    <t>Skill Defense</t>
  </si>
  <si>
    <t>SDEF</t>
  </si>
  <si>
    <t>F_SDEF: apply the shared stat pipeline.</t>
  </si>
  <si>
    <t>The character's ability to reduce incoming skill damage, according to the applicable skill damage formula.</t>
  </si>
  <si>
    <t>APR</t>
  </si>
  <si>
    <t>F_APR: apply the shared stat pipeline.</t>
  </si>
  <si>
    <t>AP normally recovered at the start of the acting team’s turn, before initial slots are assigned. Apply status restrictions and the current stat pipeline.</t>
  </si>
  <si>
    <t>Critical Hit Chance</t>
  </si>
  <si>
    <t>CHC</t>
  </si>
  <si>
    <t>F_CHC: apply the shared stat pipeline.</t>
  </si>
  <si>
    <t>The probability that an eligible hit becomes a critical hit. Minimum 0%</t>
  </si>
  <si>
    <t>Critical Damage Bonus</t>
  </si>
  <si>
    <t>CDB</t>
  </si>
  <si>
    <t>F_CDB: apply the shared stat pipeline.</t>
  </si>
  <si>
    <t>The additional damage dealt by a critical hit compared with an equivalent non-critical hit. A 50% bonus means 150% of normal damage.</t>
  </si>
  <si>
    <t>Multi-Hit Rate</t>
  </si>
  <si>
    <t>MHR</t>
  </si>
  <si>
    <t>F_MHR: apply the shared stat pipeline.</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</si>
  <si>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 Minimum 100%</t>
  </si>
  <si>
    <t>Accuracy</t>
  </si>
  <si>
    <t>ACC</t>
  </si>
  <si>
    <t>F_ACC: apply the shared stat pipeline.</t>
  </si>
  <si>
    <t>The character's accuracy percentage, combined with the target's Evasion to calculate the final hit chance.</t>
  </si>
  <si>
    <t>Evasion</t>
  </si>
  <si>
    <t>EVA</t>
  </si>
  <si>
    <t>F_EVA: apply the shared stat pipeline.</t>
  </si>
  <si>
    <t>The character's evasion percentage, combined with the attacker's Accuracy to calculate the final hit chance. Minimum 0%</t>
  </si>
  <si>
    <t>Healing Amplification</t>
  </si>
  <si>
    <t>HA</t>
  </si>
  <si>
    <t>F_HA: apply the shared stat pipeline.</t>
  </si>
  <si>
    <t>Increases healing and HP regeneration received. Defaults to 0%. Base contributions stack additively. A final value of 20% increases healing received by 20%.</t>
  </si>
  <si>
    <t>Penetration Chance</t>
  </si>
  <si>
    <t>PEN</t>
  </si>
  <si>
    <t>F_PEN: apply the shared stat pipeline.</t>
  </si>
  <si>
    <t>The chance for each landed normal-attack hit to ignore the target's Defense entirely. Roll independently for each hit. Does not apply to skills. Minimum 0%</t>
  </si>
  <si>
    <t>Stun Threshold</t>
  </si>
  <si>
    <t>STH</t>
  </si>
  <si>
    <t>Stacks</t>
  </si>
  <si>
    <t>F_STH: apply the shared stat pipeline.</t>
  </si>
  <si>
    <t>The number of Stun Count stacks required to stun the character. Minimum 1</t>
  </si>
  <si>
    <t>AP (Action Points)</t>
  </si>
  <si>
    <t>AP</t>
  </si>
  <si>
    <t>AP_after = AP_before + AP_gained - AP_spent</t>
  </si>
  <si>
    <t>The character's current action resource. At least 100 AP is required to receive an action slot. Action costs and modifiers change AP, which may become negative.</t>
  </si>
  <si>
    <t>Current HP</t>
  </si>
  <si>
    <t>CUR_HP</t>
  </si>
  <si>
    <t>Updated by damage and healing.</t>
  </si>
  <si>
    <t>The character’s current health, distinct from Max HP. Damage and healing change this resource, not its Base Stat. Death and revival follow Combat Mechanics.</t>
  </si>
  <si>
    <t>Current MP</t>
  </si>
  <si>
    <t>CUR_MP</t>
  </si>
  <si>
    <t>MP_after = MP_before + MP_restored − MP_spent</t>
  </si>
  <si>
    <t>The character’s available MP, distinct from Max MP. A cast must satisfy its MP requirement.</t>
  </si>
  <si>
    <t>Heal</t>
  </si>
  <si>
    <t>HEAL</t>
  </si>
  <si>
    <t>F_HEAL: apply the skill’s shared stat pipeline.</t>
  </si>
  <si>
    <t>A skill’s healing amount before the recipient’s Healing Amplification and missing-HP limit. Different skills have separate Heal stats.</t>
  </si>
  <si>
    <t>Skill Point</t>
  </si>
  <si>
    <t>SP</t>
  </si>
  <si>
    <t>SP = Base Character SP + Applicable Flat SP Bonuses</t>
  </si>
  <si>
    <t>The skill-point allocation budget. Use the specific allocation rules; do not assume ordinary percentage modifiers or conversions apply to this resource.</t>
  </si>
  <si>
    <t>Base Skill Level</t>
  </si>
  <si>
    <t>B_SL</t>
  </si>
  <si>
    <t>Levels</t>
  </si>
  <si>
    <t>B_SL = Allocated Skill Points</t>
  </si>
  <si>
    <t>The level obtained through skill-point allocation. One point grants one base level, within that skill’s allocation cap. Total allocated points cannot exceed the skill-point budget.</t>
  </si>
  <si>
    <t>Skill Level</t>
  </si>
  <si>
    <t>SL</t>
  </si>
  <si>
    <t>SL = B_SL + Applicable Skill Level Bonuses</t>
  </si>
  <si>
    <t>The effective skill level. Bonus levels consume no skill points and may exceed the base allocation cap. An effect explicitly setting a skill’s level follows its own wording.</t>
  </si>
  <si>
    <t>5. Rolls, Damage &amp; Healing Calculations</t>
  </si>
  <si>
    <t>Roll Value</t>
  </si>
  <si>
    <t>R</t>
  </si>
  <si>
    <t>Dimensionless (0–1)</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</si>
  <si>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</si>
  <si>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</si>
  <si>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</si>
  <si>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</si>
  <si>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</si>
  <si>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</si>
  <si>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</si>
  <si>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</si>
  <si>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</si>
  <si>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</si>
  <si>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</si>
  <si>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</si>
  <si>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</si>
  <si>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</si>
  <si>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</si>
  <si>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</si>
  <si>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</si>
  <si>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</si>
  <si>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</si>
  <si>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</si>
  <si>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</si>
  <si>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</si>
  <si>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</si>
  <si>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</si>
  <si>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Mitigation</t>
  </si>
  <si>
    <t>MIT</t>
  </si>
  <si>
    <t>MIT = Target.F_DEF / (Target.F_DEF + K)</t>
  </si>
  <si>
    <t>The percentage of incoming normal attack damage prevented. For example, 40% Mitigation means the character receives 60% of the incoming normal attack damage.</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</si>
  <si>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</si>
  <si>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</si>
  <si>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</si>
  <si>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</si>
  <si>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</si>
  <si>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</si>
  <si>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</si>
  <si>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Penetration Roll</t>
  </si>
  <si>
    <t>PEN_SUCCESS</t>
  </si>
  <si>
    <t>PEN_SUCCESS = (R_PEN &lt; Attacker.F_PEN)</t>
  </si>
  <si>
    <t>An independent check for a landed normal hit. Success bypasses Defense for that hit. Skills do not receive this check unless explicitly stated.</t>
  </si>
  <si>
    <t>Post-Mitigation Normal Hit Damage</t>
  </si>
  <si>
    <t>D_HIT</t>
  </si>
  <si>
    <t>D_HIT = Attacker.F_ATK × (1 − MIT)</t>
  </si>
  <si>
    <t>Damage of one non-critical, non-penetrating normal hit after mitigation only. Critical hits, Penetration, secondary-target penalties, and other damage effects are resolved under their own rules. This is not the total damage of a multi-hit attack.</t>
  </si>
  <si>
    <t>Post-Mitigation Skill Damage</t>
  </si>
  <si>
    <t>D_SKILL</t>
  </si>
  <si>
    <t>D_SKILL = Skill.F_SATK × (1 − SMIT)</t>
  </si>
  <si>
    <t>Damage from the specified skill after skill mitigation, before any additional damage adjustments. Does not generate normal hits or inherit normal-hit Crit, Penetration, or Multi-Hit without an explicit exception.</t>
  </si>
  <si>
    <t>Healing Received</t>
  </si>
  <si>
    <t>H_REC</t>
  </si>
  <si>
    <t>H_REC = MIN(Target.Missing_HP, Skill.F_HEAL × (1 + Target.F_HA))</t>
  </si>
  <si>
    <t>HP actually restored after the skill’s Heal pipeline and the recipient’s Healing Amplification. Healing cannot exceed missing HP.</t>
  </si>
  <si>
    <t>6. Time, Actions &amp; Casting</t>
  </si>
  <si>
    <t>Global Turn</t>
  </si>
  <si>
    <t>GT</t>
  </si>
  <si>
    <t>Global turns</t>
  </si>
  <si>
    <t>One team’s turn in the battle-wide alternating sequence. Every team turn advances the global turn counter by one.</t>
  </si>
  <si>
    <t>Team Turn</t>
  </si>
  <si>
    <t>TT</t>
  </si>
  <si>
    <t>Team turns</t>
  </si>
  <si>
    <t>One specified team’s opportunity to act. It occupies one global turn and does not include the opponent’s turn.</t>
  </si>
  <si>
    <t>Action Slot</t>
  </si>
  <si>
    <t>SLOT</t>
  </si>
  <si>
    <t>Slots</t>
  </si>
  <si>
    <t>A transferable opportunity to act, separate from AP and its current holder. Assignment, use, transfer, and interruption follow Combat Mechanics.</t>
  </si>
  <si>
    <t>D</t>
  </si>
  <si>
    <t>Expiry = Application Turn + D − 1</t>
  </si>
  <si>
    <t>The active lifetime of a timed effect. The application global turn counts as its first turn. Expires at the end of the calculated turn unless the effect states an exception.</t>
  </si>
  <si>
    <t>Cooldown Duration</t>
  </si>
  <si>
    <t>CD</t>
  </si>
  <si>
    <t>The duration assigned to a skill’s cooldown on initialization or cast, subject to its applicable modifiers.</t>
  </si>
  <si>
    <t>Remaining Cooldown</t>
  </si>
  <si>
    <t>RCD</t>
  </si>
  <si>
    <t>RCD_after = MAX(0, RCD_before − Recovery)</t>
  </si>
  <si>
    <t>The skill-specific cooldown still to recover. Zero means ready, subject to other requirements. Initialization and recovery timing follow Combat Mechanics.</t>
  </si>
  <si>
    <t>An offensive action that generates hits based on Multi-Hit Rate. Uses the weapon’s targeting and area rules.</t>
  </si>
  <si>
    <t>A skill use that directly attacks enemies. Uses the skill’s own targeting, area, and damage rules. Does not generate hits or use Multi-Hit Rate.</t>
  </si>
  <si>
    <t>Hit</t>
  </si>
  <si>
    <t>An individual strike generated by a normal attack. Each affected recipient receives a separate hit check. A hit may land or miss.</t>
  </si>
  <si>
    <t>Target</t>
  </si>
  <si>
    <t>A character explicitly selected as a primary recipient of an attack or skill. Characters affected only by its area are secondary recipients, not selected targets.</t>
  </si>
  <si>
    <t>Cast</t>
  </si>
  <si>
    <t>To commit a skill use after meeting its requirements, before resolving its effects. Applies to damaging, healing, buffing, and debuffing skills.</t>
  </si>
  <si>
    <t>A skill or effect operating automatically while its conditions hold. It may be continuous or event-triggered. A passive stat bonus is not itself a cast.</t>
  </si>
  <si>
    <t>Automatically commits a skill cast at its specified trigger when requirements are met. Requires no action slot, applies listed costs and cooldown, and triggers When Casting. See Combat Mechanics for execution rules.</t>
  </si>
  <si>
    <t>7. Triggers &amp; Event Scope</t>
  </si>
  <si>
    <t>Trigger</t>
  </si>
  <si>
    <t>TRG</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</si>
  <si>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</si>
  <si>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</si>
  <si>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</si>
  <si>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</si>
  <si>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When Attacking</t>
  </si>
  <si>
    <t>Triggers once per normal attack that lands at least one hit, regardless of the number of hits or recipients struck.</t>
  </si>
  <si>
    <t>When Casting Offensively</t>
  </si>
  <si>
    <t>Triggers once per offensive cast that directly strikes at least one enemy, regardless of the number of recipients struck.</t>
  </si>
  <si>
    <t>When Hitting</t>
  </si>
  <si>
    <t>Triggers each time a normal-attack hit lands on a recipient.</t>
  </si>
  <si>
    <t>When Targeting</t>
  </si>
  <si>
    <t>Triggers once when the character commits a normal attack or skill with one or more selected primary targets, regardless of the outcome.</t>
  </si>
  <si>
    <t>When Casting</t>
  </si>
  <si>
    <t>Triggers once when the character commits a valid skill use, before its effects resolve.</t>
  </si>
  <si>
    <t>When Being Attacked</t>
  </si>
  <si>
    <t>Triggers once per incoming normal attack that lands at least one hit on the character, regardless of the number of hits.</t>
  </si>
  <si>
    <t>When Receiving an Offensive Cast</t>
  </si>
  <si>
    <t>Triggers once per offensive cast that directly strikes the character.</t>
  </si>
  <si>
    <t>When Being Hit</t>
  </si>
  <si>
    <t>Triggers separately for each normal-attack hit that lands on the character.</t>
  </si>
  <si>
    <t>When Being Targeted</t>
  </si>
  <si>
    <t>Triggers once when the character is selected as a primary target of a committed normal attack or skill, regardless of the outcome.</t>
  </si>
  <si>
    <t>When Affected by a Skill</t>
  </si>
  <si>
    <t>Triggers once per skill use that successfully applies a direct effect to the character, including damage, healing, buffs, or debuffs. Includes primary and secondary recipients.</t>
  </si>
  <si>
    <t>Hit Scope</t>
  </si>
  <si>
    <t>Only normal attacks generate hits. Skills do not generate hits.</t>
  </si>
  <si>
    <t>Target Selection</t>
  </si>
  <si>
    <t>Targeting occurs when an action is committed. Previewing or hovering over a target does not count. Area effects do not count as selecting additional primary targets.</t>
  </si>
  <si>
    <t>Passive Casting</t>
  </si>
  <si>
    <t>A passive skill with an automatic casting mechanism can trigger When Casting. A passive stat bonus alone is not a cast.</t>
  </si>
  <si>
    <t>Damage-over-time ticks and transferred damage do not create new attacks, hits, or casts, and do not trigger the receiving events listed above. Applying a damage-over-time effect initially can trigger When Affected by a Skill.</t>
  </si>
  <si>
    <t>Multiple Recipients</t>
  </si>
  <si>
    <t>Action-level triggers occur once per action. Recipient-level triggers are checked separately for each qualifying character.</t>
  </si>
  <si>
    <t>Dummy Character</t>
  </si>
  <si>
    <t>Base stat</t>
  </si>
  <si>
    <t>Base character stat</t>
  </si>
  <si>
    <t>Base Character CP</t>
  </si>
  <si>
    <t>Base item stat</t>
  </si>
  <si>
    <t>Base item CP</t>
  </si>
  <si>
    <t>CP per stat</t>
  </si>
  <si>
    <t>Total CP</t>
  </si>
  <si>
    <t>Skill</t>
  </si>
  <si>
    <t>Mana cost</t>
  </si>
  <si>
    <t>Cooldown</t>
  </si>
  <si>
    <t>Stat at SL 5</t>
  </si>
  <si>
    <t xml:space="preserve">CP </t>
  </si>
  <si>
    <t>Dummy active skill (CP reference)</t>
  </si>
  <si>
    <t>Deals skill damage using SATK and applies +1 Stun Count. This is the active skill used for CP and status pricing.</t>
  </si>
  <si>
    <t>Skill attack</t>
  </si>
  <si>
    <t>SATK = K*SL*1.16</t>
  </si>
  <si>
    <t>stun count</t>
  </si>
  <si>
    <t>Alternative active skill (not CP reference)</t>
  </si>
  <si>
    <t>Deals skill damage using SATK. No Stun Count. This alternative is excluded from CP and status pricing.</t>
  </si>
  <si>
    <t>SATK = K*SL*1.654</t>
  </si>
  <si>
    <t>Dummy passive skill (stat modifier)</t>
  </si>
  <si>
    <t>increase SE atk</t>
  </si>
  <si>
    <t>Atk effectiveness</t>
  </si>
  <si>
    <t>SE Atk = SL*4%</t>
  </si>
  <si>
    <t>Dummy passive skill (each team turn)</t>
  </si>
  <si>
    <t>Dummy active skill (pure status)</t>
  </si>
  <si>
    <t>1 status</t>
  </si>
  <si>
    <t>Skill mitigation</t>
  </si>
  <si>
    <t>Penetration chance</t>
  </si>
  <si>
    <t xml:space="preserve">Stun Threshold  </t>
  </si>
  <si>
    <t>Attack stun count</t>
  </si>
  <si>
    <t>Skill Points</t>
  </si>
  <si>
    <t>stat</t>
  </si>
  <si>
    <t>value</t>
  </si>
  <si>
    <t>K relative</t>
  </si>
  <si>
    <t>Dummy weapon</t>
  </si>
  <si>
    <t>Block chance</t>
  </si>
  <si>
    <t>Other stat</t>
  </si>
  <si>
    <t>Counter Attack chance</t>
  </si>
  <si>
    <t>Dummy body armour</t>
  </si>
  <si>
    <t>Total</t>
  </si>
  <si>
    <t>CP per item</t>
  </si>
  <si>
    <t>Dummy accessory</t>
  </si>
  <si>
    <t>K =1000</t>
  </si>
  <si>
    <t>Off hand</t>
  </si>
  <si>
    <t>other stat</t>
  </si>
  <si>
    <t>Balanced Dummy CP Calculation</t>
  </si>
  <si>
    <t>1. Reference Conditions</t>
  </si>
  <si>
    <t>1 HP = 1 CP.</t>
  </si>
  <si>
    <t>HP: 50,000. MP: 41,060.</t>
  </si>
  <si>
    <t>Base Attack: 2,000.</t>
  </si>
  <si>
    <t>Defense and Skill Defense: 1,000 each.</t>
  </si>
  <si>
    <t>Power Constant, K: 1,000.</t>
  </si>
  <si>
    <t>Multi-Hit Rate: 120%. Penetration Chance: 20%.</t>
  </si>
  <si>
    <t>Critical Hit Chance: 20%. Critical Damage Bonus: 100%.</t>
  </si>
  <si>
    <t>Accuracy: 100%. Evasion: 0%.</t>
  </si>
  <si>
    <t>Skill Points: 10, allocated as 5 SP to each skill.</t>
  </si>
  <si>
    <t>Reference active at SL 5: SATK = K * SL * 1.16 = 5,800; applies +1 Stun Count.</t>
  </si>
  <si>
    <t>Reference active cost: 100 AP and 4,106 MP; cooldown: 3 global turns. Max MP supports 10 casts.</t>
  </si>
  <si>
    <t>Passive at SL 5: Attack Effectiveness Bonus = SL × 4% = 20%.</t>
  </si>
  <si>
    <t>The passive raises Attack Effectiveness from 100% to 120%.</t>
  </si>
  <si>
    <t>Reference rotation: one normal attack followed by one active skill.</t>
  </si>
  <si>
    <t>Multi-Hit, Penetration, and Critical Hits apply only to normal attacks.</t>
  </si>
  <si>
    <t>Penetration and Critical Hit checks are independent.</t>
  </si>
  <si>
    <t>When evaluating a basic stat increase, keep all other inputs fixed.</t>
  </si>
  <si>
    <t>Active SATK and passive Attack Effectiveness are included in SP pricing, not separate CP entries.</t>
  </si>
  <si>
    <t>2. Reference Average Damage</t>
  </si>
  <si>
    <t>Normal and skill mitigation:</t>
  </si>
  <si>
    <t>MIT = Defense / (Defense + K) = 50%.</t>
  </si>
  <si>
    <t>SMIT = Skill Defense / (Skill Defense + K) = 50%.</t>
  </si>
  <si>
    <t>Expected normal damage factor, including Penetration:</t>
  </si>
  <si>
    <t>Damage Factor = (1 − 20%) × (1 − 50%) + 20% = 0.6.</t>
  </si>
  <si>
    <t>Expected Critical Hit multiplier:</t>
  </si>
  <si>
    <t>Critical Multiplier = 1 + 20% × 100% = 1.2.</t>
  </si>
  <si>
    <t>Normal damage without the passive:</t>
  </si>
  <si>
    <t>Normal Damage at 0 SP = 2,000 × 0.6 × 1.2 × 1.2 = 1,728.</t>
  </si>
  <si>
    <t>Normal damage with the passive:</t>
  </si>
  <si>
    <t>Final Attack = 2,000 × 1.2 = 2,400.</t>
  </si>
  <si>
    <t>Normal Damage = 2,400 × 0.6 × 1.2 × 1.2 = 2,073.6.</t>
  </si>
  <si>
    <t>Active skill damage:</t>
  </si>
  <si>
    <t>Skill Damage = 5,800 × (1 − 50%) = 2,900.</t>
  </si>
  <si>
    <t>Average mixed damage:</t>
  </si>
  <si>
    <t>Mixed Damage = (2,073.6 + 2,900) / 2 = 2,486.8 per completed action.</t>
  </si>
  <si>
    <t>This reference excludes initial cooldown delays and skipped actions.</t>
  </si>
  <si>
    <t>3. CP Conversion Rules</t>
  </si>
  <si>
    <t>Offensive stats</t>
  </si>
  <si>
    <t>Price the increase in average mixed damage relative to the reference:</t>
  </si>
  <si>
    <t>CP Gain = 50,000 × (New Mixed Damage − 2,486.8) / 2,486.8.</t>
  </si>
  <si>
    <t>Defensive stats</t>
  </si>
  <si>
    <t>Convert increased durability into equivalent additional HP:</t>
  </si>
  <si>
    <t>Equivalent HP = 50,000 × (2,486.8 / New Incoming Mixed Damage − 1).</t>
  </si>
  <si>
    <t>Since 1 HP = 1 CP, Equivalent HP equals CP Gain.</t>
  </si>
  <si>
    <t>Pricing units</t>
  </si>
  <si>
    <t>Use a one-point increase for point-valued stats.</t>
  </si>
  <si>
    <t>Use a one-percentage-point increase for percentage stats, such as 20% → 21%.</t>
  </si>
  <si>
    <t>SP and MP use average package pricing. AP Recovery and Accuracy use explicit budget conventions.</t>
  </si>
  <si>
    <t>4. CP per Stat</t>
  </si>
  <si>
    <t>Calculation Logic</t>
  </si>
  <si>
    <t>Selected CP per Stat</t>
  </si>
  <si>
    <t>The reference unit used to price combat effectiveness.</t>
  </si>
  <si>
    <t>1 per point</t>
  </si>
  <si>
    <t>41,060 MP supports 10 casts. Over 20 completed actions, mixed damage increases from 2,073.60 to 2,486.80. Package CP = 50,000 * 413.2 / 2,486.8 = 8,307.87. Divide by 41,060 MP: 0.20233483 CP/MP; selected price: 0.20.</t>
  </si>
  <si>
    <t>0.20 per point</t>
  </si>
  <si>
    <t>An additional 1 Base Attack becomes 1.2 Final Attack through the passive and adds 0.5184 mixed damage. CP = 50,000 × 0.5184 / 2,486.8 ≈ 10.423.</t>
  </si>
  <si>
    <t>10.42 per point</t>
  </si>
  <si>
    <t>An additional 1 Defense reduces incoming mixed damage to approximately 2,486.45457. Equivalent HP ≈ 6.946. Penetrating hits ignore Defense.</t>
  </si>
  <si>
    <t>6.95 per point</t>
  </si>
  <si>
    <t>An additional 1 Skill Defense reduces incoming mixed damage to approximately 2,486.07536. Equivalent HP ≈ 14.574.</t>
  </si>
  <si>
    <t>14.57 per point</t>
  </si>
  <si>
    <t>An additional 1 percentage point adds 8.64 mixed damage. CP ≈ 173.717. This prices direct damage only.</t>
  </si>
  <si>
    <t>174 per percentage point</t>
  </si>
  <si>
    <t>An additional 1 percentage point adds 8.64 mixed damage by increasing the chance for normal hits to ignore Defense. CP ≈ 173.717.</t>
  </si>
  <si>
    <t>At 100% Critical Damage Bonus, an additional 1 percentage point adds 8.64 mixed damage. CP ≈ 173.717.</t>
  </si>
  <si>
    <t>At 20% Critical Hit Chance, an additional 1 percentage point adds 1.728 mixed damage. CP ≈ 34.743.</t>
  </si>
  <si>
    <t>34.74 per percentage point</t>
  </si>
  <si>
    <t>By the potential-output convention, an additional 1 AP Recovery at the reference value of 100 represents 1% additional damage output. CP = 50,000 × 1% = 500.</t>
  </si>
  <si>
    <t>500 per point</t>
  </si>
  <si>
    <t>Compare threshold 4 → 5 against an opponent applying 1 count through both normal attacks and the active skill. Mean final HP margin improves by 1,852.</t>
  </si>
  <si>
    <t>1850 per point at 4 → 5</t>
  </si>
  <si>
    <t>Attack Stun Count</t>
  </si>
  <si>
    <t>Compare normal-attack count 0 → 1 while active-skill count remains 1. The opponent has threshold 4 and cannot apply stun. Mean final HP margin improves by 9,579.</t>
  </si>
  <si>
    <t>9600 for 0 → 1</t>
  </si>
  <si>
    <t>The complete 10-SP package increases average damage from 1,728 to 2,486.8. Package CP = 50,000 × 758.8 / 2,486.8 = 15,256.55. Divide by 10: approximately 1,525.66 CP/SP.</t>
  </si>
  <si>
    <t>1526 per point</t>
  </si>
  <si>
    <t>Assigned the same price as Evasion. Additional Accuracy provides no direct damage benefit when hit chance is already capped.</t>
  </si>
  <si>
    <t>209.33 per percentage point</t>
  </si>
  <si>
    <t>Increasing Evasion from 0% to 1% reduces incoming mixed damage to 2,476.432. Equivalent HP ≈ 209.333. Evasion affects normal hits only.</t>
  </si>
  <si>
    <t>Assume a reference heal of 2,900 HP every other action, with no overhealing. An additional 1 percentage point adds 29 HP per heal, averaging 14.5 HP per action. CP = 50,000 × 14.5 / 2,486.8 ≈ 291.539.</t>
  </si>
  <si>
    <t>291.54 per percentage point</t>
  </si>
  <si>
    <t>5. Special Valuation Assumptions</t>
  </si>
  <si>
    <t>Compare the complete active-and-passive package with normal attacks at 0 SP.</t>
  </si>
  <si>
    <t>Divide the package CP by 10 to obtain an average budget per SP.</t>
  </si>
  <si>
    <t>This is not the marginal value of every additional skill level.</t>
  </si>
  <si>
    <t>Do not add active SATK or passive Attack Effectiveness as separate character CP entries.</t>
  </si>
  <si>
    <t>Keep both skills unlocked and the passive active when evaluating MP.</t>
  </si>
  <si>
    <t>Without MP, replace active casts with normal attacks.</t>
  </si>
  <si>
    <t>Damage Advantage per Cast = 2,900 − 2,073.6 = 826.4.</t>
  </si>
  <si>
    <t>Ten casts add 8,264 damage over 20 actions, averaging 413.2 additional damage per action.</t>
  </si>
  <si>
    <t>MP pricing assumes all 10 casts can be completed.</t>
  </si>
  <si>
    <t>MP beyond usable casting opportunities provides no additional benefit in this reference window.</t>
  </si>
  <si>
    <t>SP and MP interact; their budget prices are not independent portions of total damage.</t>
  </si>
  <si>
    <t>The selected price assumes sufficient opportunities to spend recovered AP while preserving the reference rotation.</t>
  </si>
  <si>
    <t>Additional AP does not automatically create action slots or bypass cooldowns.</t>
  </si>
  <si>
    <t>The five-slot team limit can reduce actual benefit.</t>
  </si>
  <si>
    <t>Stun</t>
  </si>
  <si>
    <t>The benchmark uses 1vs1 combat with only one side applying stun.</t>
  </si>
  <si>
    <t>Normal attacks and the active skill alternate. Mana and cooldown restrictions are excluded.</t>
  </si>
  <si>
    <t>Stun Count and Stun each last 3 global turns, including the application turn.</t>
  </si>
  <si>
    <t>Each target receives at most 1 stack per global turn.</t>
  </si>
  <si>
    <t>New stacks refresh the shared count duration. Expired counts reset to 0.</t>
  </si>
  <si>
    <t>Reaching the threshold triggers Stun, resets the count, and blocks further stacks while stunned.</t>
  </si>
  <si>
    <t>Each configuration uses 100 battles, split equally between initiative orders.</t>
  </si>
  <si>
    <t>Before-and-after configurations use matched seeds.</t>
  </si>
  <si>
    <t>HP Margin = A Remaining HP − B Remaining HP at battle end.</t>
  </si>
  <si>
    <t>CP Gain = Mean Upgraded HP Margin − Mean Baseline HP Margin.</t>
  </si>
  <si>
    <t>This measures final battle advantage, not additional Max HP.</t>
  </si>
  <si>
    <t>Attack Stun Count pricing includes its interaction with active-skill count 1.</t>
  </si>
  <si>
    <t>The benchmark duel contains no healing.</t>
  </si>
  <si>
    <t>Pricing uses a hypothetical heal matching active skill damage and frequency.</t>
  </si>
  <si>
    <t>Actual benefit depends on healing received and overhealing.</t>
  </si>
  <si>
    <t>6. Character and Item CP</t>
  </si>
  <si>
    <t>Use the selected coefficients as fixed budget prices:</t>
  </si>
  <si>
    <t>Character CP = Character Base Stat × CP per Stat.</t>
  </si>
  <si>
    <t>Item CP = Item Base Stat × CP per Stat.</t>
  </si>
  <si>
    <t>Total CP = Character CP + Item CP.</t>
  </si>
  <si>
    <t>For percentage values stored as decimals in Excel:</t>
  </si>
  <si>
    <t>CP = Stat Value × 100 × CP per Percentage Point.</t>
  </si>
  <si>
    <t>Example: 20% Penetration = 0.20 × 100 × 174 = 3,480 CP.</t>
  </si>
  <si>
    <t>Balanced Dummy Total CP = 235,079.00 using the selected prices and MP 41,060.</t>
  </si>
  <si>
    <t>These are reference budget prices, not universal measures of combat strength.</t>
  </si>
  <si>
    <t>Actual value depends on stat interactions, opponents, skill usage, and battle conditions.</t>
  </si>
  <si>
    <t>The 8,270-SATK alternative is not the reference for these CP coefficients. Status pricing uses the 5,800-SATK active with +1 Stun Count only.</t>
  </si>
  <si>
    <t>7. Mana cost calculation</t>
  </si>
  <si>
    <t>các skill có nhiều hiệu ứng khác nhau, nhưng có thể quy về satk tương ứng để so sánh giá trị và tính mana cost</t>
  </si>
  <si>
    <t>skill active thuần sát thương sẽ so sánh với 8270 Satk</t>
  </si>
  <si>
    <t>Skill active thuần 1 hiệu ứng sẽ so sánh với 8270 Satk</t>
  </si>
  <si>
    <t>Skill active có sát thương và stun count, 5800 satk và 1 stun count sẽ so sánh với 8270 satk</t>
  </si>
  <si>
    <t>Skill passive không cần so sánh để tính mana cost</t>
  </si>
  <si>
    <t>quy về tham chiếu trận đấu active skill có satk 8270, không stun</t>
  </si>
  <si>
    <t>Item</t>
  </si>
  <si>
    <t>Attack Target</t>
  </si>
  <si>
    <t>Area of attack</t>
  </si>
  <si>
    <t>Sub-target Damage penalty</t>
  </si>
  <si>
    <t>Value</t>
  </si>
  <si>
    <t>CP per Stat Point</t>
  </si>
  <si>
    <t>CP</t>
  </si>
  <si>
    <t>Warrior weapon</t>
  </si>
  <si>
    <t>Front</t>
  </si>
  <si>
    <t>Single</t>
  </si>
  <si>
    <t>Destroyer weapon</t>
  </si>
  <si>
    <t>Row adjection</t>
  </si>
  <si>
    <t>Soldier weapon</t>
  </si>
  <si>
    <t>Line adjection</t>
  </si>
  <si>
    <t>Ranger weapon</t>
  </si>
  <si>
    <t>Any</t>
  </si>
  <si>
    <t>Piercer weapon</t>
  </si>
  <si>
    <t>Full line</t>
  </si>
  <si>
    <t>Subtarget 1: 50%. Sub target 2: 75%</t>
  </si>
  <si>
    <t>Devastator weapon</t>
  </si>
  <si>
    <t>Cross</t>
  </si>
  <si>
    <t>Caster weapon</t>
  </si>
  <si>
    <t>Body armour</t>
  </si>
  <si>
    <t>Accessory</t>
  </si>
  <si>
    <t>Rune Enhancement</t>
  </si>
  <si>
    <t>Shield</t>
  </si>
  <si>
    <t>AP recovery</t>
  </si>
  <si>
    <t>Focus</t>
  </si>
  <si>
    <t>Ammunition</t>
  </si>
  <si>
    <t>Arrow</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</si>
  <si>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</si>
  <si>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</si>
  <si>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</si>
  <si>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</si>
  <si>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</si>
  <si>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</si>
  <si>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</si>
  <si>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</si>
  <si>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</si>
  <si>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</si>
  <si>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Reference CP</t>
  </si>
  <si>
    <t>point per 100 CP</t>
  </si>
  <si>
    <t>% per 100 CP</t>
  </si>
  <si>
    <t>Effect</t>
  </si>
  <si>
    <t>Rage</t>
  </si>
  <si>
    <t>Increases Attack. Flat bonuses add to Base Attack; percentage bonuses add to Attack Modifier.</t>
  </si>
  <si>
    <t>Calm</t>
  </si>
  <si>
    <t>Increases the affected skill’s SATK. Flat bonuses add to Base SATK; percentage bonuses add to SATK Modifier. The source specifies the affected skills.</t>
  </si>
  <si>
    <t>Fortify</t>
  </si>
  <si>
    <t>Increases Defense. Flat bonuses add to Base Defense; percentage bonuses add to Defense Modifier.</t>
  </si>
  <si>
    <t>Resistance</t>
  </si>
  <si>
    <t>Increases Skill Defense. Flat bonuses add to Base Skill Defense; percentage bonuses add to Skill Defense Modifier.</t>
  </si>
  <si>
    <t>Intimidated</t>
  </si>
  <si>
    <t>Reduces Attack. Flat reductions subtract from Base Attack; percentage reductions subtract from Attack Modifier.</t>
  </si>
  <si>
    <t>Weaken</t>
  </si>
  <si>
    <t>Reduces the affected skill’s SATK. Flat reductions subtract from Base SATK; percentage reductions subtract from SATK Modifier. The source specifies the affected skills.</t>
  </si>
  <si>
    <t>Sunder</t>
  </si>
  <si>
    <t>Reduces Defense. Flat reductions subtract from Base Defense; percentage reductions subtract from Defense Modifier.</t>
  </si>
  <si>
    <t>Exposure</t>
  </si>
  <si>
    <t>Reduces Skill Defense. Flat reductions subtract from Base Skill Defense; percentage reductions subtract from Skill Defense Modifier.</t>
  </si>
  <si>
    <t>Haste</t>
  </si>
  <si>
    <t>Increases AP Recovery. Flat bonuses add to Base AP Recovery; percentage bonuses add to AP Recovery Modifier. Does not directly restore current AP.</t>
  </si>
  <si>
    <t>Slow</t>
  </si>
  <si>
    <t>Reduces AP Recovery. Flat reductions subtract from Base AP Recovery; percentage reductions subtract from AP Recovery Modifier. Does not directly remove current AP.</t>
  </si>
  <si>
    <t>Onslaught</t>
  </si>
  <si>
    <t>Increases Multi-Hit Rate. Flat bonuses add percentage points to Base Multi-Hit Rate; percentage bonuses add to Multi-Hit Rate Modifier.</t>
  </si>
  <si>
    <t>Falter</t>
  </si>
  <si>
    <t>Reduces Multi-Hit Rate. Flat reductions subtract percentage points from Base Multi-Hit Rate; percentage reductions subtract from Multi-Hit Rate Modifier.</t>
  </si>
  <si>
    <t>Blind</t>
  </si>
  <si>
    <t>Reduces Accuracy. Flat reductions subtract percentage points from Base Accuracy; percentage reductions subtract from Accuracy Modifier.</t>
  </si>
  <si>
    <t>Precision</t>
  </si>
  <si>
    <t>Increases Critical Hit Chance. Flat bonuses add percentage points to Base Critical Hit Chance; percentage bonuses add to Critical Hit Chance Modifier.</t>
  </si>
  <si>
    <t>Doubt</t>
  </si>
  <si>
    <t>Reduces Critical Hit Chance. Flat reductions subtract percentage points from Base Critical Hit Chance; percentage reductions subtract from Critical Hit Chance Modifier.</t>
  </si>
  <si>
    <t>Grants a temporary shield that absorbs damage. The source specifies its capacity.</t>
  </si>
  <si>
    <t>Block Chance</t>
  </si>
  <si>
    <t>Counterattack Chance</t>
  </si>
  <si>
    <t>Vulnerable</t>
  </si>
  <si>
    <t>Increases damage taken after mitigation by the listed percentage. The source specifies any damage-type or attacker restrictions.</t>
  </si>
  <si>
    <t>Durable</t>
  </si>
  <si>
    <t>Reduces damage taken after mitigation by the listed percentage. The source specifies any damage-type or attacker restrictions.</t>
  </si>
  <si>
    <t>Damage over Time</t>
  </si>
  <si>
    <t>Deals damage at the end of each global turn. DOT effects from multiple sources can stack, each using its own applicable modifiers.</t>
  </si>
  <si>
    <t>Prevents receiving action slots and performing voluntary actions, including normal attacks, active skills, defending, and position swaps. Sets Base Character AP Recovery to 0. Passive skills remain usable.</t>
  </si>
  <si>
    <t>Stun Count</t>
  </si>
  <si>
    <t>Has no direct effect. Each target can gain at most 1 stack per global turn, regardless of hits or sources. All stacks share one duration; gaining a stack refreshes it. All stacks are removed when the duration expires. Reaching Stun Threshold triggers Stun, resets Stun Count to 0, and prevents further accumulation while stunned.</t>
  </si>
  <si>
    <t>The number of Stun Count stacks required to trigger Stun. This is a character stat, not a timed status.</t>
  </si>
  <si>
    <t>Immobilized</t>
  </si>
  <si>
    <t>Prevents receiving action slots and performing voluntary actions, including normal attacks, active skills, defending, and position swaps. Passive skills remain usable.</t>
  </si>
  <si>
    <t>Chill</t>
  </si>
  <si>
    <t>Infinite</t>
  </si>
  <si>
    <t>Reduces Base AP Recovery by 5 and Base Multi-Hit Rate by 10 percentage points per stack.</t>
  </si>
  <si>
    <t>Break</t>
  </si>
  <si>
    <t>Disables passive skills.</t>
  </si>
  <si>
    <t>Silence</t>
  </si>
  <si>
    <t>Prevents using active skills.</t>
  </si>
  <si>
    <t>Disarm</t>
  </si>
  <si>
    <t>Prevents normal attacks.</t>
  </si>
  <si>
    <t>Immunity</t>
  </si>
  <si>
    <t>Grants immunity to effects applied by skill casts and to negative statuses.</t>
  </si>
  <si>
    <t>Invincible</t>
  </si>
  <si>
    <t>Grants immunity to all damage and negative statuses.</t>
  </si>
  <si>
    <t>Invisible</t>
  </si>
  <si>
    <t>Prevents being selected as a target.</t>
  </si>
  <si>
    <t>Madness</t>
  </si>
  <si>
    <t>Allows the character to act but prevents manual control.</t>
  </si>
  <si>
    <t>Definition / Formula</t>
  </si>
  <si>
    <t>Source-defined Parameters</t>
  </si>
  <si>
    <t>All statuses</t>
  </si>
  <si>
    <t>The status identifies its effect. The source defines its magnitude, value type, affected recipients, duration, and stacking behavior. Character-specific exceptions must be documented in the character’s sheet.</t>
  </si>
  <si>
    <t>Percentage Modifier</t>
  </si>
  <si>
    <t>Stat adjustments</t>
  </si>
  <si>
    <t>A percentage bonus or reduction adds a positive or negative contribution to the recipient’s Stat Modifier for the affected stat. Applicable modifiers stack additively and act on the recipient’s resolved Base Stat.</t>
  </si>
  <si>
    <t>Flat Contribution</t>
  </si>
  <si>
    <t>Flat bonuses or reductions add to or subtract from the recipient’s Base Stat. The resulting Base Stat follows the normal Stat Modifier and Stat Effectiveness calculations.</t>
  </si>
  <si>
    <t>Percentage Points</t>
  </si>
  <si>
    <t>Percentage-valued stats</t>
  </si>
  <si>
    <t>A flat contribution to a percentage-valued stat is measured in percentage points. Base CHC +20% means adding 20 percentage points to Base CHC. CHC Modifier +20% means a relative adjustment through the modifier calculation.</t>
  </si>
  <si>
    <t>Current Stat</t>
  </si>
  <si>
    <t>Source references</t>
  </si>
  <si>
    <t>Current ATK, DEF, SDEF, and similar references mean Final Stat at the effect’s evaluation time. Current HP, MP, and AP mean current resource values, not Max HP, Max MP, or AP Recovery.</t>
  </si>
  <si>
    <t>Source-scaled Bonus</t>
  </si>
  <si>
    <t>Bonuses based on another stat</t>
  </si>
  <si>
    <t>Gain = Referenced Source Stat × Scaling Rate. The result is a flat contribution to the recipient’s Base destination stat. If the source specifies a current stat, use its Final value. The scaling rate is not a Stat Modifier applied to the recipient.</t>
  </si>
  <si>
    <t>Stat Pipeline</t>
  </si>
  <si>
    <t>Status contributions</t>
  </si>
  <si>
    <t>Base Stat includes all applicable flat status contributions. Modified Stat = Base Stat × Stat Modifier. Total Stat = Base Stat + Modified Stat. Final Stat = Total Stat × Stat Effectiveness. Percentage status contributions affect Stat Modifier.</t>
  </si>
  <si>
    <t>Buff versus Conversion</t>
  </si>
  <si>
    <t>Source-scaled buffs</t>
  </si>
  <si>
    <t>A buff copies a calculated amount without deducting it from the source. Conversion’s source deduction and cumulative 100% limit do not apply unless the effect explicitly performs a conversion.</t>
  </si>
  <si>
    <t>Buff Stat Effectiveness</t>
  </si>
  <si>
    <t>Skill-generated statuses</t>
  </si>
  <si>
    <t>Calculate the skill’s status parameters using their applicable modifiers and Effectiveness before applying them. This is separate from the recipient’s stat pipeline.</t>
  </si>
  <si>
    <t>Evaluation Timing</t>
  </si>
  <si>
    <t>Source-scaled effects</t>
  </si>
  <si>
    <t>Effects applied by a cast or auto-cast use the source’s stat values at cast time. Their magnitudes remain fixed until they expire or are reapplied. Continuous passive effects use current stat values and recalculate whenever relevant values change. A passive skill that auto-casts follows the cast-time rule for the effects it applies.</t>
  </si>
  <si>
    <t>Timed statuses</t>
  </si>
  <si>
    <t>Duration is measured in global turns. Use the source’s specified duration; otherwise use the status’s default duration. An effect applied on global turn T with duration D expires at the end of global turn T + D − 1. Refreshing its duration restarts this calculation from the refresh turn.</t>
  </si>
  <si>
    <t>Expiration and Stacking</t>
  </si>
  <si>
    <t>Active contributions</t>
  </si>
  <si>
    <t>Only applicable active contributions participate in stat calculation. Remove a contribution when its effect ends and recalculate affected stats. Follow the source’s stacking and refresh rules; recalculation does not create additional stacks.</t>
  </si>
  <si>
    <t>Reference Basis</t>
  </si>
  <si>
    <t>Use the original Balanced Dummy: HP 50,000; active SATK 5,800 with +1 Stun Count; passive +20 percentage points of Attack Effectiveness. Normal damage is 2,073.60; active damage is 2,900.00; mixed damage is 2,486.80. The 8,270-SATK alternative is not used for CP or status coefficients.</t>
  </si>
  <si>
    <t>Point per 100 CP</t>
  </si>
  <si>
    <t>Point per 100 CP = 100 / Selected CP per Unit. For percentage-valued stats, one point means one percentage point added to or removed from Base Stat. Use the original selected basic-stat prices in Balanced Dummy.</t>
  </si>
  <si>
    <t>Percentage Modifier per 100 CP</t>
  </si>
  <si>
    <t>Modifier per 100 CP = Point Contribution / Reference Base Stat, using matching units. Calm and Weaken use reference SATK 5,800. Vulnerable and Durable adjust damage taken directly, not a Base Stat.</t>
  </si>
  <si>
    <t>Buff and Debuff Pricing</t>
  </si>
  <si>
    <t>Corresponding buffs and debuffs use the same reference magnitude budget. Their actual combat benefits may differ. Table values show positive magnitudes; the status determines whether to add or subtract them.</t>
  </si>
  <si>
    <t>Rounding</t>
  </si>
  <si>
    <t>Display CP and status coefficients to two decimal places. Keep full precision in formulas; do not reconstruct CP from a rounded display. Previously selected basic-stat budget prices remain unchanged.</t>
  </si>
  <si>
    <t>Pricing Scope</t>
  </si>
  <si>
    <t>These coefficients price effect magnitude. They exclude duration, uptime, recipient count, cast frequency, and resource costs. They are independent of the 200-team-turn mana-cost method. Stun value is not added to the mixed-damage denominator.</t>
  </si>
  <si>
    <t>Calm and Weaken</t>
  </si>
  <si>
    <t>Each +1 active SATK adds 0.25 mixed damage. CP per SATK = 50,000 * 0.25 / 2,486.80 = 5.02654174. Point per 100 CP = 19.8944. Modifier per 100 CP = 19.8944 / 5,800 = 0.34300690%. This prices the SATK increase only; the skill keeps +1 Stun Count. SATK is not an additional basic-stat CP entry.</t>
  </si>
  <si>
    <t>Use 1 CP per point of shield capacity, assuming the shield is fully consumed before expiration.</t>
  </si>
  <si>
    <t>Reference Effect</t>
  </si>
  <si>
    <t>Calculation / Limitation</t>
  </si>
  <si>
    <t>One stack: −5 Base AP Recovery and −10 percentage points of Base Multi-Hit Rate.</t>
  </si>
  <si>
    <t>CP = 5 * 500 + 10 * 174 = 4,240.00. Prices the AP Recovery and MHR reductions only; duration and accumulation limits are excluded.</t>
  </si>
  <si>
    <t>Disables Dummy’s passive granting +20 percentage points of Attack Effectiveness.</t>
  </si>
  <si>
    <t>Removing the passive loses 400 Final Attack, equivalent to 400 / 1.2 Base Attack. CP = (400 / 1.2) * 10.42 = 3,473.33. Uses the selected Attack price; applies only to the reference passive and excludes duration.</t>
  </si>
  <si>
    <t>Status CP Reference</t>
  </si>
  <si>
    <t>Pricing unit</t>
  </si>
  <si>
    <t>Selected CP / unit</t>
  </si>
  <si>
    <t>Reference Base</t>
  </si>
  <si>
    <t>Point / 100 CP</t>
  </si>
  <si>
    <t>Modifier / 100 CP</t>
  </si>
  <si>
    <t>1 Base point</t>
  </si>
  <si>
    <t>Active SATK</t>
  </si>
  <si>
    <t>1 percentage point</t>
  </si>
  <si>
    <t>These coefficients price effect magnitude, excluding duration, uptime, targets, cast frequency and resource costs. Stun value is not added to the mixed-damage denominator.</t>
  </si>
  <si>
    <t>Chance units</t>
  </si>
  <si>
    <t>Block and Counterattack use flat percentage points. Relative modifiers cannot create chance from a zero baseline. Selected prices are 209.33 and 208.46 CP per percentage point.</t>
  </si>
  <si>
    <t>Damage taken</t>
  </si>
  <si>
    <t>Vulnerable and Durable retain the symmetric budget of 500 CP per percentage point, or 0.20% per 100 CP. Restricted damage sources require separate evaluation.</t>
  </si>
  <si>
    <t>Stat floors</t>
  </si>
  <si>
    <t>Final MHR cannot fall below 100%; CHC, CDB and PEN cannot fall below 0%. Benefits stop at applicable floors and caps.</t>
  </si>
  <si>
    <t>Unpriced effects</t>
  </si>
  <si>
    <t>Blank coefficients mean no fixed price has been established, not zero value. Control effects require an explicit benchmark.</t>
  </si>
  <si>
    <t>Skill upgrades</t>
  </si>
  <si>
    <t>Skill Point CP is an average price for the original complete package, not the marginal price of an additional active level. At SL 5, +1 active level adds 1,160 SATK: CP = 50,000 * 290 / 2,486.8 = 5,830.79. A 4,000-CP active-only SATK Effectiveness increase is 13.72 percentage points, at reference Effectiveness 100%.</t>
  </si>
  <si>
    <t>Class</t>
  </si>
  <si>
    <t>Warrior</t>
  </si>
  <si>
    <t>Character</t>
  </si>
  <si>
    <t>Joan of Arc</t>
  </si>
  <si>
    <t>Weapon</t>
  </si>
  <si>
    <t>Offhand</t>
  </si>
  <si>
    <t>Total base stat</t>
  </si>
  <si>
    <t>Total base characer stat</t>
  </si>
  <si>
    <t>Base character CP</t>
  </si>
  <si>
    <t>Total base item stat</t>
  </si>
  <si>
    <t>base Item CP</t>
  </si>
  <si>
    <t>Average Attack</t>
  </si>
  <si>
    <t>Spare</t>
  </si>
  <si>
    <t>Skill - max level</t>
  </si>
  <si>
    <t>Area of Effect</t>
  </si>
  <si>
    <t>Formula (base)</t>
  </si>
  <si>
    <t>Satk equivalent</t>
  </si>
  <si>
    <t>Holy Blade - 5</t>
  </si>
  <si>
    <t xml:space="preserve">Deals skill damage and applies the listed Stun Count to affected enemies. </t>
  </si>
  <si>
    <t>Line Adjacent</t>
  </si>
  <si>
    <t>1.654*K*SL</t>
  </si>
  <si>
    <t>Sub-target Damage Penalty</t>
  </si>
  <si>
    <t>Holy Guard - 5</t>
  </si>
  <si>
    <t xml:space="preserve">Heals one ally using the Heal stat and applies Immunity for the skill duration. </t>
  </si>
  <si>
    <t>1.654*K*40%*SL</t>
  </si>
  <si>
    <t>Maiden’s Care - 5</t>
  </si>
  <si>
    <t>Passive - Auto cast</t>
  </si>
  <si>
    <t>At the start of each allied team turn, auto-casts a heal on the main character and applies Resistance for the skill duration based on Joans's base SDEF</t>
  </si>
  <si>
    <t>Main character</t>
  </si>
  <si>
    <t>Resistance: Base SDEF Scaling Rate</t>
  </si>
  <si>
    <t>2%*SL</t>
  </si>
  <si>
    <t>Divine Calling - 5</t>
  </si>
  <si>
    <t>Continuously converts Base Attack into Base Defense first, then Base Skill Defense, using the listed maximum percentages and rates.</t>
  </si>
  <si>
    <t>Self</t>
  </si>
  <si>
    <t>Max ATK-to-DEF Conversion</t>
  </si>
  <si>
    <t>8%*SL</t>
  </si>
  <si>
    <t>ATK-to-DEF Rate</t>
  </si>
  <si>
    <t>Max ATK-to-SDEF Conversion</t>
  </si>
  <si>
    <t>ATK-to-SDEF Rate</t>
  </si>
  <si>
    <t>Martyr’s Flame - 5</t>
  </si>
  <si>
    <t>Infinitive</t>
  </si>
  <si>
    <t>At the start of the next global turn after death, revives as a spirit and gains Invincible for the skill duration. Can act while in spirit form. Disables Divine Calling and converts Base Defense first, then Base Skill Defense, into Holy Blade's Base SATK.</t>
  </si>
  <si>
    <t>Max DEF-to-SATK Conversion</t>
  </si>
  <si>
    <t>20%*SL</t>
  </si>
  <si>
    <t>DEF-to-SATK Rate</t>
  </si>
  <si>
    <t>Max SDEF-to-SATK Conversion</t>
  </si>
  <si>
    <t>SDEF-to-SATK Rate</t>
  </si>
  <si>
    <t>Specialization 1</t>
  </si>
  <si>
    <t>Holy Knight</t>
  </si>
  <si>
    <t>A knight guided by divine voices, called to liberate and lead her nation.</t>
  </si>
  <si>
    <t>S1
Unlocks Maiden’s Care</t>
  </si>
  <si>
    <t>S1.1.1
Base AP Recovery +8</t>
  </si>
  <si>
    <t>S1.1.2
DEF Modifier +65%.</t>
  </si>
  <si>
    <t>S1.1.3
Holy Guard also applies Fortify, granting DEF Modifier +56% for the skill duration.</t>
  </si>
  <si>
    <t>S1.1.4
Holy Guard also affects the main character when cast.</t>
  </si>
  <si>
    <t>S1.2.1
Base HP +4000</t>
  </si>
  <si>
    <t>S1.2.2
SDEF Modifier +27%.</t>
  </si>
  <si>
    <t>S1.2.3
Base MP + 20000</t>
  </si>
  <si>
    <t>S1.2.4
Maiden's Care Stat Effectiveness +26%.</t>
  </si>
  <si>
    <t>Specialization 2</t>
  </si>
  <si>
    <t>Undying Flame</t>
  </si>
  <si>
    <t>An unbreakable will that endures even after her body turns to ash.</t>
  </si>
  <si>
    <t>S2
Unlock Divine Calling.</t>
  </si>
  <si>
    <t>S2.1.1
Immune to DOT effects.</t>
  </si>
  <si>
    <t>S2.1.2
Base Healing Amplification +17%.</t>
  </si>
  <si>
    <t>S2.1.3
Holy Guard also affects Joan when cast.</t>
  </si>
  <si>
    <t>S2.1.4
Unlock Martyr's Flame at skill level 1</t>
  </si>
  <si>
    <t>S2.1.5
Upgrade Martyr's Flame to skill level 5</t>
  </si>
  <si>
    <t>S2.2.1
Base MP +20000.</t>
  </si>
  <si>
    <t>S2.2.2
Holy Guard starts combat with no cooldown.</t>
  </si>
  <si>
    <t>S2.3.1
Base AP Recovery +8</t>
  </si>
  <si>
    <t>Destroyer</t>
  </si>
  <si>
    <t>Harald Bluetooth</t>
  </si>
  <si>
    <t>Rune enhancement</t>
  </si>
  <si>
    <t>Frozen Axe - 5</t>
  </si>
  <si>
    <t>Deals initial skill damage and applies Damage over Time and Immobilized to enemies in the target row for the skill duration.</t>
  </si>
  <si>
    <t>Full Row</t>
  </si>
  <si>
    <t>Initial SATK</t>
  </si>
  <si>
    <t>1.16*k*10%*SL</t>
  </si>
  <si>
    <t>DOT SATK</t>
  </si>
  <si>
    <t>Deadly Strike - 5</t>
  </si>
  <si>
    <t>Deals heavy skill damage to one Front target. Usable only while the caster’s current HP is below 50% of Max HP.</t>
  </si>
  <si>
    <t>1.16*k*300%*SL</t>
  </si>
  <si>
    <t>Bluetooth Connection - 5</t>
  </si>
  <si>
    <t>Passive, Auto-cast</t>
  </si>
  <si>
    <t>At the start of each allied team turn, auto-casts a link to the two allies with the lowest current HP. Bluetooth absorbs the listed share of their post-mitigation damage. Applies Fortify and Resistance: flat Base DEF/SDEF bonuses equal to the respective rates of Bluetooth's Base DEF/SDEF at cast time. Link and buffs last for the skill duration.</t>
  </si>
  <si>
    <t>2 allies with lowest current HP</t>
  </si>
  <si>
    <t>Post-Mitigation Damage Share</t>
  </si>
  <si>
    <t>10%*SL</t>
  </si>
  <si>
    <t>Fortify: Base DEF Scaling Rate</t>
  </si>
  <si>
    <t>55%/2/5*SL</t>
  </si>
  <si>
    <t>26%/2/5*SL</t>
  </si>
  <si>
    <t>Viking Striker</t>
  </si>
  <si>
    <t>Crushes enemy formations with brute force, sweeping attacks, and a devastating finishing strike.</t>
  </si>
  <si>
    <t>S1
Unlock Deadly Strike.</t>
  </si>
  <si>
    <t>S1.1.2
Deadly Strike no longer requires HP below 50%. Base Mana Cost -2500, AP cost -15</t>
  </si>
  <si>
    <t>S1.1.3
Attack Effectiveness +20%.</t>
  </si>
  <si>
    <t>S1.1.4
AP Recovery Modifier +16%.</t>
  </si>
  <si>
    <t>S1.2.1
Base AP Recovery +8</t>
  </si>
  <si>
    <t>S1.2.2
Sub-target Damage Penalty -30%.</t>
  </si>
  <si>
    <t>S1.2.3
Base CHC +23%</t>
  </si>
  <si>
    <t>S1.2.4
Base MHR +17%
Base CHC +17%
Base CDB +58%</t>
  </si>
  <si>
    <t>Viking Unifier</t>
  </si>
  <si>
    <t>Links and protects allies, weakens enemies, and sustains the team through shared strength.</t>
  </si>
  <si>
    <t>S2
Unlock Bluetooth Connection.</t>
  </si>
  <si>
    <t>S2.1.1
Base Defense +690</t>
  </si>
  <si>
    <t>S2.1.2
Frozen Axe also applies Chill.</t>
  </si>
  <si>
    <t>S2.1.3
Frozen Axe DOT Effectiveness +46%</t>
  </si>
  <si>
    <t>S2.1.4
Bluetooth Connection Stat Effectiveness +26%.</t>
  </si>
  <si>
    <t>S2.2.1
Base Healing Amplification +14%</t>
  </si>
  <si>
    <t>S2.2.2
Frozen Axe also applies Exposure -27%</t>
  </si>
  <si>
    <t xml:space="preserve">S2.2.3
When Being Attacked, has a 20% chance to restore 0.5% of own Max HP. </t>
  </si>
  <si>
    <t>S2.2.4
at the start of each allied team turn, restores 0.5% of own Max HP.</t>
  </si>
  <si>
    <t>Soldier</t>
  </si>
  <si>
    <t>Leonidas</t>
  </si>
  <si>
    <t>Soldier Weapon</t>
  </si>
  <si>
    <t>Average attack</t>
  </si>
  <si>
    <t>War Cry</t>
  </si>
  <si>
    <t>Applies Damage over Time and Falter to enemies in the affected area for the skill duration. DOT deals double damage if the affected enemy’s Final Multi-Hit Rate equals 100%.</t>
  </si>
  <si>
    <t>Any enemy in rows 1 or 2</t>
  </si>
  <si>
    <t>Falter: Base MHR Reduction</t>
  </si>
  <si>
    <t>-4.75%*SL</t>
  </si>
  <si>
    <t>1.654*1000*15%*SL</t>
  </si>
  <si>
    <t>God-King Slayer</t>
  </si>
  <si>
    <t>Hurls a Spartan spear that deals skill damage. Can critically strike using this skill’s Critical Hit Chance and Leonidas’s Final Critical Damage Bonus. Gains +50% SATK Effectiveness against enemy main characters.</t>
  </si>
  <si>
    <t>1.654*1000**SL</t>
  </si>
  <si>
    <t>Base CHC</t>
  </si>
  <si>
    <t>SATK Effectiveness Bonus against Main Characters</t>
  </si>
  <si>
    <t>Phalanx</t>
  </si>
  <si>
    <t>When receiving a landed melee normal hit, has the listed chance to counterattack its attacker. When receiving a ranged normal hit, has the listed chance to block it</t>
  </si>
  <si>
    <t>4%*SL</t>
  </si>
  <si>
    <t>Sparta</t>
  </si>
  <si>
    <t>Heraclid</t>
  </si>
  <si>
    <t>S1
Unlock God-King Slayer</t>
  </si>
  <si>
    <t>S1.1.1
Defense Modifier +58%</t>
  </si>
  <si>
    <t>S1.1.2
Base MHR +23%</t>
  </si>
  <si>
    <t>S1.1.3
Base AP Recovery +8</t>
  </si>
  <si>
    <t>S1.1.4
God-King Slayer SATK Effectiveness +26%</t>
  </si>
  <si>
    <t>S1.2.1
Base Acc + 10%
Base CHC + 12%</t>
  </si>
  <si>
    <t>S1.2.2
God-King Slayer Satk effectiveness +13%</t>
  </si>
  <si>
    <t>S1.2.3
Base DEF +576</t>
  </si>
  <si>
    <t>S1.2.4
God-King Slayer uses the Soldier weapon’s area of effect and sub-target damage penalty</t>
  </si>
  <si>
    <t>Spartan King</t>
  </si>
  <si>
    <t>S2
Unlock Phalanx</t>
  </si>
  <si>
    <t>S2.1.1.
ATK Modifier +20%</t>
  </si>
  <si>
    <t>S2.1.2
Base HA +15%</t>
  </si>
  <si>
    <t>S2.1.3
Base Stun Threshold +2</t>
  </si>
  <si>
    <t>S2.1.4
Grants Leonidas and adjacent allies Fortify +7% and Rage +5%</t>
  </si>
  <si>
    <t>S2.2.1
Defense Modifier + 58%</t>
  </si>
  <si>
    <t>S2.2.2
MHR Modifier + 23%</t>
  </si>
  <si>
    <t>S2.2.3
Base HA +9%</t>
  </si>
  <si>
    <t>S2.2.4 Leonidas and adjacent allies gain +1 Base Stun Threshold</t>
  </si>
  <si>
    <t>Devastator</t>
  </si>
  <si>
    <t>Napoleon</t>
  </si>
  <si>
    <t>Crushing Barrage - 5</t>
  </si>
  <si>
    <t>Applies Sunder, reducing Defense Modifier by the listed rate, and Damage over Time using DOT SATK to all enemies for the skill duration.</t>
  </si>
  <si>
    <t>All enemies</t>
  </si>
  <si>
    <t>Sunder: Defense Modifier Reduction</t>
  </si>
  <si>
    <t>-58%*20%*SL</t>
  </si>
  <si>
    <t>1.654*1000*10%*Sl</t>
  </si>
  <si>
    <t>Grand Battery - 5</t>
  </si>
  <si>
    <t>Passive, Aura, Auto-Cast</t>
  </si>
  <si>
    <t>Auto-casts an aura that applies Rage and Onslaught to Napoleon and all allied Devastators for the skill duration. Rage increases Attack Modifier; Onslaught increases Multi-Hit Rate Modifier by their listed rates.</t>
  </si>
  <si>
    <t>Self and allied Devastators</t>
  </si>
  <si>
    <t>All eligible allies</t>
  </si>
  <si>
    <t>Rage: Attack Modifier Bonus</t>
  </si>
  <si>
    <t>Onslaught: Multi-Hit Rate Modifier Bonus</t>
  </si>
  <si>
    <t>2.4%*SL</t>
  </si>
  <si>
    <t>Heal (Upgrade)</t>
  </si>
  <si>
    <t>Imperial Decree - 5</t>
  </si>
  <si>
    <t>Applies Imperial Decree to one allied Devastator for the skill duration. When that ally performs a normal attack, Napoleon has the listed chance to perform a Coordinated Attack after it resolves.</t>
  </si>
  <si>
    <t>Allied Devastator</t>
  </si>
  <si>
    <t>Trigger Chance</t>
  </si>
  <si>
    <t>13%*SL</t>
  </si>
  <si>
    <t>MP Recovery (Upgrade)</t>
  </si>
  <si>
    <t>4000*SL</t>
  </si>
  <si>
    <t>Artillery</t>
  </si>
  <si>
    <t>A master of massed artillery who coordinates devastating barrages to crush enemy formations.</t>
  </si>
  <si>
    <t>S1
Unlock Grand Battery</t>
  </si>
  <si>
    <t>S1.1.2
Base Multi-Hit Rate +23%</t>
  </si>
  <si>
    <t>S1.1.3
Grand Battery Stat Effectiveness +13%.</t>
  </si>
  <si>
    <t>S1.2.2
Base HP +4000.</t>
  </si>
  <si>
    <t>S1.2.3
Grand Battery also heals each affected ally when cast, using its Heal stat.</t>
  </si>
  <si>
    <t>S1.2.4
Grand Battery Stat Effectiveness +26%.</t>
  </si>
  <si>
    <t>Emperor</t>
  </si>
  <si>
    <t>An ambitious emperor who leads his armies to conquest.</t>
  </si>
  <si>
    <t>S2
Unlock Imperial Decree</t>
  </si>
  <si>
    <t>S2.1.1
Imperial Decree also restores current MP to its target when cast</t>
  </si>
  <si>
    <t>S2.1.2
Attack Modifier +20%.</t>
  </si>
  <si>
    <t>S2.1.3
Imperial Decree AP Cost -80.</t>
  </si>
  <si>
    <t>S2.1.4
Imperial Decree Base Trigger Chance +23%</t>
  </si>
  <si>
    <t>S2.2.1
Base AP Recovery +8</t>
  </si>
  <si>
    <t>S2.2.2
Base Critical Hit Chance +23%</t>
  </si>
  <si>
    <t>S2.2.3
Imperial Decree Base Trigger Chance +12%</t>
  </si>
  <si>
    <t>S2.2.4
normal attacks apply Intimidated -767 for 2 global turns.</t>
  </si>
  <si>
    <t>Piercer</t>
  </si>
  <si>
    <t>Leonardo Da Vinci</t>
  </si>
  <si>
    <t>Piercer Weapon</t>
  </si>
  <si>
    <t>Summon Piercing Automaton — 10</t>
  </si>
  <si>
    <t>Summons one Piercing Automaton for the rest of the battle. At the start of each allied team turn, it performs a normal attack against a random valid enemy using Piercer weapon targeting and area rules. Its Base Attack is derived from Leonardo's Base Attack at the listed inheritance rate. Maximum: one Piercing Automaton.</t>
  </si>
  <si>
    <t>Base Attack Inheritance Rate</t>
  </si>
  <si>
    <t>50%+(10%*SL)</t>
  </si>
  <si>
    <t>Attack Stun Count (Upgrade)</t>
  </si>
  <si>
    <t>Vitruvian Man — 10</t>
  </si>
  <si>
    <t>Applies Precision to allies or Doubt to enemies in the selected row for the skill duration.</t>
  </si>
  <si>
    <t>Row</t>
  </si>
  <si>
    <t>Precision / Doubt: Base CHC Adjustment</t>
  </si>
  <si>
    <t>12%+(2.4%*SL)</t>
  </si>
  <si>
    <t>Negative Status Removal Count (Upgrade)</t>
  </si>
  <si>
    <t>Mona Lisa — 10</t>
  </si>
  <si>
    <t>Heals all allies using the Heal stat and removes the listed number of oldest negative statuses from each.</t>
  </si>
  <si>
    <t>All Allies</t>
  </si>
  <si>
    <t>1.654*1000*50%%*SL</t>
  </si>
  <si>
    <t>Negative Status Removal Count</t>
  </si>
  <si>
    <t>Summon Bombard Automaton — 10</t>
  </si>
  <si>
    <t>Summons one Bombard Automaton for the rest of the battle. At the start of each allied team turn, it performs a normal attack against a random valid enemy using Devastator weapon targeting and area rules. Its Base Attack is derived from Leonardo's Base Attack at the listed inheritance rate. Maximum: one Bombard Automaton.</t>
  </si>
  <si>
    <t>Universal Genius</t>
  </si>
  <si>
    <t>A master of art, anatomy, and engineering who applies his knowledge to heal, enhance, and protect his allies.</t>
  </si>
  <si>
    <t>S1
Unlock Vitruvian Man.</t>
  </si>
  <si>
    <t>S1.1.1
Unlock Mona Lisa at level 1</t>
  </si>
  <si>
    <t>S1.1.2
Skill Points +4</t>
  </si>
  <si>
    <t>S1.2.1
reduce skill Mana Cost by 49%.</t>
  </si>
  <si>
    <t>S1.2.2
Mona Lisa removes 1 additional oldest negative status per ally.</t>
  </si>
  <si>
    <t>S1.2.3
Skill Points +7</t>
  </si>
  <si>
    <t>S1.3.1
Base MP +17920</t>
  </si>
  <si>
    <t>S1.3.2
Skill Points +4</t>
  </si>
  <si>
    <t>S1.3.3
Vitruvian Man also removes the oldest negative status from each affected ally.</t>
  </si>
  <si>
    <t>Visionary Inventor</t>
  </si>
  <si>
    <t>An inventor ahead of his time who brings extraordinary war machines to life.</t>
  </si>
  <si>
    <t>S2
Unlock Summon Bombard Automaton.</t>
  </si>
  <si>
    <t>S2.1.1
Both automatons gain +10% Attack Effectiveness.</t>
  </si>
  <si>
    <t>S2.1.2
Both Automation gain +12% of base CHC</t>
  </si>
  <si>
    <t>S2.1.3
Base HP +2400</t>
  </si>
  <si>
    <t>S2.1.4
Piercing Automaton gains +1 Attack Stun Count.</t>
  </si>
  <si>
    <t>S2.2.1
Both automatons gain +12% of Base Multi-Hit Rate.</t>
  </si>
  <si>
    <t>S2.2.2
Both automatons gain +10% of Base Penetration Chance.</t>
  </si>
  <si>
    <t>S2.2.3
This passive is the condition to unlock next passive</t>
  </si>
  <si>
    <t>S2.2.4
Start the battle with a Bombard Automaton already summoned.</t>
  </si>
  <si>
    <t>Ranger</t>
  </si>
  <si>
    <t>Robin Hood</t>
  </si>
  <si>
    <t>Golden Arrow Shot - 5</t>
  </si>
  <si>
    <t>Fires an unavoidable arrow that deals skill damage using this skill's SATK.</t>
  </si>
  <si>
    <t>Satk</t>
  </si>
  <si>
    <t xml:space="preserve"> 1.654*K*SL</t>
  </si>
  <si>
    <t>Man Under the Hood - 5</t>
  </si>
  <si>
    <t>Applies Invisible and Precision to Robin Hood for the skill duration. Precision adds the listed percentage points to Base Critical Hit Chance. Immediately grants another action slot.</t>
  </si>
  <si>
    <t>Precision: Base CHC Bonus</t>
  </si>
  <si>
    <t>Thief’s Mark - 5</t>
  </si>
  <si>
    <t>Passive, Auto-Cast</t>
  </si>
  <si>
    <t>At the start of each allied team turn, auto-casts on the living enemy that has dealt the most total damage to Robin Hood’s team during the battle. Applies Vulnerable for the skill duration, increasing damage taken from Robin Hood by the listed percentage after mitigation.</t>
  </si>
  <si>
    <t>Highest-damage living enemy</t>
  </si>
  <si>
    <t>Vulnerable: damage taken increased</t>
  </si>
  <si>
    <t>3%+(1%*SL)</t>
  </si>
  <si>
    <t>SATK (Upgrade)</t>
  </si>
  <si>
    <t>1.654*K*33%*SL</t>
  </si>
  <si>
    <t>Outlaw’s Mark - 5</t>
  </si>
  <si>
    <t>Targets the living enemy that has dealt the most total damage to Robin Hood’s team during the battle, plus two other random living enemies. Applies Vulnerable to all three for the skill duration, increasing damage taken from all sources by the listed percentage after mitigation.</t>
  </si>
  <si>
    <t>Primary target and 2 other random enemies</t>
  </si>
  <si>
    <t>Golden Arrow</t>
  </si>
  <si>
    <t>An unrivaled archer who strikes with precision and escapes unharmed.</t>
  </si>
  <si>
    <t>S1
Unlocks Man Under the Hood.</t>
  </si>
  <si>
    <t>S1.1.1
Attack Modifier +10%
Base Multi-Hit Rate +12%</t>
  </si>
  <si>
    <t>S1.1.2
Base Accuracy +15%
Multi-Hit Rate Modifier +5%.</t>
  </si>
  <si>
    <t xml:space="preserve">S1.1.3
Man Under the Hood immediately restores 50 current AP when cast. </t>
  </si>
  <si>
    <t>S1.1.4
When Hitting, has a 5% chance to auto-cast Golden Arrow Shot. Its cooldown and mana cost apply; this triggered cast costs no AP.</t>
  </si>
  <si>
    <t>S1.2.1
Golden Arrow Shot SATK modifier +14%.</t>
  </si>
  <si>
    <t>S1.2.2
Base AP recovery +10</t>
  </si>
  <si>
    <t>S1.2.3
Golden Arrow Shot applies 1 Stun Count stacks, explicitly bypassing the standard per-global-turn stack limit.</t>
  </si>
  <si>
    <t>S1.2.4
Golden Arrow Shot can SATK Modifier +28%</t>
  </si>
  <si>
    <t>People's Champion</t>
  </si>
  <si>
    <t>Punishes enemies that have dealt the most damage to his team.</t>
  </si>
  <si>
    <t>S2
Unlocks Thief’s Mark.</t>
  </si>
  <si>
    <t>S2.1.1
Thief's Mark Stat Effectiveness +18%.</t>
  </si>
  <si>
    <t>S2.1.2
Thief's Mark Mana cost -49%</t>
  </si>
  <si>
    <t>S2.1.3
Thief's Mark affects 1 additional target selected using its targeting rules.</t>
  </si>
  <si>
    <t>S2.2.1
Upgrade Thief's Mark to Outlaw's Mark, retaining all applicable passive upgrades.</t>
  </si>
  <si>
    <t>S2.2.2
Outlaw's Mark duration +2 global turn.</t>
  </si>
  <si>
    <t>S2.3.1
Base Evasion +20%.</t>
  </si>
  <si>
    <t>S2.3.2
Thief's Mark also deals skill damage when cast, using its upgraded SATK.</t>
  </si>
  <si>
    <t>S2.3.3
Thief's Mark also applies Silence for 2 global turns.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</si>
</sst>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0;[Red]\-#,##0;&quot;-&quot;"/>
    <numFmt numFmtId="180" formatCode="0_ "/>
    <numFmt numFmtId="181" formatCode="0.000_ "/>
    <numFmt numFmtId="182" formatCode="0.0%"/>
    <numFmt numFmtId="183" formatCode="0.000"/>
    <numFmt numFmtId="184" formatCode="_ * #,##0.00_ ;_ * \-#,##0.00_ ;_ * &quot;-&quot;??.00_ ;_ @_ "/>
    <numFmt numFmtId="185" formatCode="_ * #,##0.0_ ;_ * \-#,##0.0_ ;_ * &quot;-&quot;??.0_ ;_ @_ "/>
  </numFmts>
  <fonts count="24">
    <font>
      <sz val="11"/>
      <color theme="1"/>
      <name val="Calibri"/>
      <charset val="134"/>
      <scheme val="minor"/>
    </font>
    <font>
      <b/>
      <sz val="11"/>
      <color theme="1"/>
      <name val="Calibri"/>
      <charset val="134"/>
      <scheme val="minor"/>
    </font>
    <font>
      <sz val="11"/>
      <color theme="1"/>
      <name val="Calibri"/>
      <charset val="134"/>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sz val="9"/>
      <name val="Times New Roman"/>
      <charset val="0"/>
    </font>
  </fonts>
  <fills count="36">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5" fillId="0" borderId="0">
      <alignment vertical="center"/>
    </xf>
    <xf numFmtId="0" fontId="6" fillId="0" borderId="0">
      <alignment vertical="center"/>
    </xf>
    <xf numFmtId="0" fontId="0" fillId="5" borderId="5">
      <alignment vertical="center"/>
    </xf>
    <xf numFmtId="0" fontId="7" fillId="0" borderId="0">
      <alignment vertical="center"/>
    </xf>
    <xf numFmtId="0" fontId="8" fillId="0" borderId="0">
      <alignment vertical="center"/>
    </xf>
    <xf numFmtId="0" fontId="9" fillId="0" borderId="0">
      <alignment vertical="center"/>
    </xf>
    <xf numFmtId="0" fontId="10" fillId="0" borderId="6">
      <alignment vertical="center"/>
    </xf>
    <xf numFmtId="0" fontId="11" fillId="0" borderId="6">
      <alignment vertical="center"/>
    </xf>
    <xf numFmtId="0" fontId="12" fillId="0" borderId="7">
      <alignment vertical="center"/>
    </xf>
    <xf numFmtId="0" fontId="12" fillId="0" borderId="0">
      <alignment vertical="center"/>
    </xf>
    <xf numFmtId="0" fontId="13" fillId="6" borderId="8">
      <alignment vertical="center"/>
    </xf>
    <xf numFmtId="0" fontId="14" fillId="7" borderId="9">
      <alignment vertical="center"/>
    </xf>
    <xf numFmtId="0" fontId="15" fillId="7" borderId="8">
      <alignment vertical="center"/>
    </xf>
    <xf numFmtId="0" fontId="16" fillId="8" borderId="10">
      <alignment vertical="center"/>
    </xf>
    <xf numFmtId="0" fontId="17" fillId="0" borderId="11">
      <alignment vertical="center"/>
    </xf>
    <xf numFmtId="0" fontId="1" fillId="0" borderId="12">
      <alignment vertical="center"/>
    </xf>
    <xf numFmtId="0" fontId="18" fillId="9" borderId="0">
      <alignment vertical="center"/>
    </xf>
    <xf numFmtId="0" fontId="19" fillId="10" borderId="0">
      <alignment vertical="center"/>
    </xf>
    <xf numFmtId="0" fontId="20" fillId="11" borderId="0">
      <alignment vertical="center"/>
    </xf>
    <xf numFmtId="0" fontId="21" fillId="12" borderId="0">
      <alignment vertical="center"/>
    </xf>
    <xf numFmtId="0" fontId="0" fillId="13" borderId="0">
      <alignment vertical="center"/>
    </xf>
    <xf numFmtId="0" fontId="0" fillId="14" borderId="0">
      <alignment vertical="center"/>
    </xf>
    <xf numFmtId="0" fontId="21" fillId="15" borderId="0">
      <alignment vertical="center"/>
    </xf>
    <xf numFmtId="0" fontId="21" fillId="16" borderId="0">
      <alignment vertical="center"/>
    </xf>
    <xf numFmtId="0" fontId="0" fillId="17" borderId="0">
      <alignment vertical="center"/>
    </xf>
    <xf numFmtId="0" fontId="0" fillId="18" borderId="0">
      <alignment vertical="center"/>
    </xf>
    <xf numFmtId="0" fontId="21" fillId="19" borderId="0">
      <alignment vertical="center"/>
    </xf>
    <xf numFmtId="0" fontId="21" fillId="20" borderId="0">
      <alignment vertical="center"/>
    </xf>
    <xf numFmtId="0" fontId="0" fillId="21" borderId="0">
      <alignment vertical="center"/>
    </xf>
    <xf numFmtId="0" fontId="0" fillId="22" borderId="0">
      <alignment vertical="center"/>
    </xf>
    <xf numFmtId="0" fontId="21" fillId="23" borderId="0">
      <alignment vertical="center"/>
    </xf>
    <xf numFmtId="0" fontId="21" fillId="24" borderId="0">
      <alignment vertical="center"/>
    </xf>
    <xf numFmtId="0" fontId="0" fillId="25" borderId="0">
      <alignment vertical="center"/>
    </xf>
    <xf numFmtId="0" fontId="0" fillId="26" borderId="0">
      <alignment vertical="center"/>
    </xf>
    <xf numFmtId="0" fontId="21" fillId="27" borderId="0">
      <alignment vertical="center"/>
    </xf>
    <xf numFmtId="0" fontId="21" fillId="28" borderId="0">
      <alignment vertical="center"/>
    </xf>
    <xf numFmtId="0" fontId="0" fillId="29" borderId="0">
      <alignment vertical="center"/>
    </xf>
    <xf numFmtId="0" fontId="0" fillId="30" borderId="0">
      <alignment vertical="center"/>
    </xf>
    <xf numFmtId="0" fontId="21" fillId="31" borderId="0">
      <alignment vertical="center"/>
    </xf>
    <xf numFmtId="0" fontId="21" fillId="32" borderId="0">
      <alignment vertical="center"/>
    </xf>
    <xf numFmtId="0" fontId="0" fillId="33" borderId="0">
      <alignment vertical="center"/>
    </xf>
    <xf numFmtId="0" fontId="0" fillId="34" borderId="0">
      <alignment vertical="center"/>
    </xf>
    <xf numFmtId="0" fontId="21" fillId="35" borderId="0">
      <alignment vertical="center"/>
    </xf>
  </cellStyleXfs>
  <cellXfs count="150">
    <xf numFmtId="0" fontId="0" fillId="0" borderId="0" xfId="0"/>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79" fontId="0" fillId="0" borderId="0" xfId="1" applyNumberFormat="1" applyAlignment="1"/>
    <xf numFmtId="179" fontId="0" fillId="0" borderId="0" xfId="0" applyNumberFormat="1"/>
    <xf numFmtId="9" fontId="0" fillId="0" borderId="0" xfId="3">
      <alignment vertical="center"/>
    </xf>
    <xf numFmtId="10" fontId="0" fillId="0" borderId="0" xfId="3" applyNumberFormat="1" applyAlignment="1"/>
    <xf numFmtId="10" fontId="0" fillId="0" borderId="0" xfId="0" applyNumberFormat="1"/>
    <xf numFmtId="0" fontId="1" fillId="0" borderId="0" xfId="0" applyFont="1"/>
    <xf numFmtId="178" fontId="1" fillId="0" borderId="0" xfId="0" applyNumberFormat="1" applyFont="1"/>
    <xf numFmtId="178" fontId="0" fillId="0" borderId="0" xfId="0" applyNumberFormat="1"/>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180"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0" fillId="0" borderId="2" xfId="0" applyBorder="1" applyAlignment="1">
      <alignment horizontal="left" vertical="center" wrapText="1"/>
    </xf>
    <xf numFmtId="0" fontId="0" fillId="2" borderId="1" xfId="0" applyFill="1" applyBorder="1" applyAlignment="1">
      <alignment horizontal="left" vertical="top" wrapText="1"/>
    </xf>
    <xf numFmtId="0" fontId="0" fillId="3" borderId="1" xfId="0" applyFill="1" applyBorder="1" applyAlignment="1">
      <alignment horizontal="left" vertical="top" wrapText="1"/>
    </xf>
    <xf numFmtId="0" fontId="0" fillId="0" borderId="3" xfId="0" applyBorder="1" applyAlignment="1">
      <alignment horizontal="left" vertical="center" wrapText="1"/>
    </xf>
    <xf numFmtId="0" fontId="0" fillId="4" borderId="1" xfId="0" applyFill="1" applyBorder="1" applyAlignment="1">
      <alignment horizontal="left" vertical="top" wrapText="1"/>
    </xf>
    <xf numFmtId="0" fontId="0" fillId="0" borderId="0" xfId="0"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178" fontId="0" fillId="0" borderId="0" xfId="1" applyNumberFormat="1">
      <alignment vertical="center"/>
    </xf>
    <xf numFmtId="0" fontId="0" fillId="0" borderId="1" xfId="0" applyBorder="1" applyAlignment="1">
      <alignment horizontal="left" vertical="center"/>
    </xf>
    <xf numFmtId="0" fontId="0" fillId="0" borderId="1" xfId="0" applyBorder="1" applyAlignment="1">
      <alignment horizontal="left" vertical="center"/>
    </xf>
    <xf numFmtId="9" fontId="0" fillId="0" borderId="1" xfId="3" applyNumberFormat="1" applyBorder="1" applyAlignment="1">
      <alignment horizontal="left" vertical="center" wrapText="1"/>
    </xf>
    <xf numFmtId="180" fontId="0" fillId="0" borderId="1" xfId="1" applyNumberFormat="1" applyBorder="1" applyAlignment="1">
      <alignment horizontal="left" vertical="center"/>
    </xf>
    <xf numFmtId="9" fontId="0" fillId="0" borderId="1" xfId="3"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xf>
    <xf numFmtId="0" fontId="0" fillId="0" borderId="0" xfId="0" applyNumberFormat="1" applyFont="1" applyFill="1" applyBorder="1" applyAlignment="1" applyProtection="1"/>
    <xf numFmtId="181" fontId="0" fillId="0" borderId="0" xfId="0" applyNumberFormat="1"/>
    <xf numFmtId="0" fontId="0" fillId="0" borderId="0" xfId="1" applyNumberFormat="1" applyBorder="1" applyAlignment="1">
      <alignment vertical="center"/>
    </xf>
    <xf numFmtId="180" fontId="0" fillId="0" borderId="1" xfId="1" applyNumberFormat="1" applyBorder="1" applyAlignment="1">
      <alignment horizontal="left" vertical="center" wrapText="1"/>
    </xf>
    <xf numFmtId="180" fontId="0" fillId="0" borderId="1" xfId="1" applyNumberFormat="1" applyBorder="1" applyAlignment="1">
      <alignment horizontal="left" vertical="center"/>
    </xf>
    <xf numFmtId="0" fontId="0" fillId="0" borderId="2" xfId="0" applyBorder="1" applyAlignment="1">
      <alignment vertical="center" wrapText="1"/>
    </xf>
    <xf numFmtId="0" fontId="0" fillId="4" borderId="1" xfId="0" applyFill="1" applyBorder="1" applyAlignment="1">
      <alignment vertical="center" wrapText="1"/>
    </xf>
    <xf numFmtId="0" fontId="0" fillId="3" borderId="1" xfId="0" applyFill="1" applyBorder="1" applyAlignment="1">
      <alignment vertical="center" wrapText="1"/>
    </xf>
    <xf numFmtId="0" fontId="0" fillId="0" borderId="1" xfId="0" applyBorder="1" applyAlignment="1">
      <alignment vertical="center" wrapText="1"/>
    </xf>
    <xf numFmtId="0" fontId="0" fillId="0" borderId="4" xfId="0" applyBorder="1" applyAlignment="1">
      <alignment vertical="center" wrapText="1"/>
    </xf>
    <xf numFmtId="0" fontId="0" fillId="2" borderId="1" xfId="0" applyFill="1" applyBorder="1" applyAlignment="1">
      <alignment vertical="center" wrapText="1"/>
    </xf>
    <xf numFmtId="0" fontId="0" fillId="0" borderId="1" xfId="0" applyBorder="1" applyAlignment="1">
      <alignment vertical="center"/>
    </xf>
    <xf numFmtId="0" fontId="0" fillId="0" borderId="3" xfId="0" applyBorder="1" applyAlignment="1">
      <alignment vertical="center" wrapText="1"/>
    </xf>
    <xf numFmtId="0" fontId="0" fillId="0" borderId="1" xfId="0" applyBorder="1" applyAlignment="1">
      <alignment horizontal="left" vertical="center"/>
    </xf>
    <xf numFmtId="9" fontId="0" fillId="0" borderId="1" xfId="3" applyBorder="1" applyAlignment="1">
      <alignment horizontal="left" vertical="center"/>
    </xf>
    <xf numFmtId="0" fontId="0" fillId="0" borderId="1" xfId="3" applyNumberFormat="1" applyBorder="1" applyAlignment="1">
      <alignment horizontal="left" vertical="center"/>
    </xf>
    <xf numFmtId="180" fontId="0" fillId="0" borderId="1" xfId="3" applyNumberFormat="1" applyBorder="1" applyAlignment="1">
      <alignment horizontal="left" vertical="center"/>
    </xf>
    <xf numFmtId="0" fontId="0" fillId="0" borderId="1" xfId="0" applyBorder="1" applyAlignment="1">
      <alignment horizontal="left" vertical="center"/>
    </xf>
    <xf numFmtId="0" fontId="0" fillId="0" borderId="1" xfId="1" applyNumberFormat="1" applyBorder="1" applyAlignment="1">
      <alignment horizontal="left" vertical="center"/>
    </xf>
    <xf numFmtId="0" fontId="0" fillId="0" borderId="0" xfId="0" applyAlignment="1">
      <alignment wrapText="1"/>
    </xf>
    <xf numFmtId="0" fontId="0" fillId="2" borderId="1" xfId="0" applyNumberFormat="1" applyFill="1" applyBorder="1" applyAlignment="1">
      <alignment vertical="center" wrapText="1"/>
    </xf>
    <xf numFmtId="9" fontId="0" fillId="0" borderId="1" xfId="3" applyNumberFormat="1" applyBorder="1" applyAlignment="1">
      <alignment horizontal="left" vertical="center"/>
    </xf>
    <xf numFmtId="10" fontId="0" fillId="0" borderId="0" xfId="3" applyNumberFormat="1">
      <alignment vertical="center"/>
    </xf>
    <xf numFmtId="0" fontId="0" fillId="2" borderId="1" xfId="0" applyFill="1" applyBorder="1" applyAlignment="1">
      <alignment horizontal="left" vertical="center" wrapText="1"/>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2" borderId="1" xfId="0" applyFill="1" applyBorder="1" applyAlignment="1">
      <alignment wrapText="1"/>
    </xf>
    <xf numFmtId="0" fontId="0" fillId="0" borderId="1" xfId="0" applyBorder="1" applyAlignment="1">
      <alignment horizontal="left" vertical="center" wrapText="1"/>
    </xf>
    <xf numFmtId="0" fontId="0" fillId="0" borderId="1" xfId="3" applyNumberFormat="1" applyBorder="1" applyAlignment="1">
      <alignment horizontal="left" vertical="center" wrapText="1"/>
    </xf>
    <xf numFmtId="9" fontId="0" fillId="0" borderId="1" xfId="0" applyNumberFormat="1" applyBorder="1" applyAlignment="1">
      <alignment horizontal="left" vertical="center" wrapText="1"/>
    </xf>
    <xf numFmtId="9" fontId="0" fillId="0" borderId="1" xfId="1" applyNumberFormat="1" applyBorder="1" applyAlignment="1">
      <alignment horizontal="left" vertical="center" wrapText="1"/>
    </xf>
    <xf numFmtId="178" fontId="0" fillId="0" borderId="1" xfId="1" applyNumberFormat="1" applyBorder="1" applyAlignment="1">
      <alignment horizontal="left" vertical="center" wrapText="1"/>
    </xf>
    <xf numFmtId="180" fontId="0" fillId="0" borderId="1" xfId="0" applyNumberFormat="1" applyBorder="1" applyAlignment="1">
      <alignment horizontal="left" vertical="center" wrapText="1"/>
    </xf>
    <xf numFmtId="178" fontId="0" fillId="0" borderId="0" xfId="1" applyNumberFormat="1" applyAlignment="1">
      <alignment horizontal="left" vertical="center" wrapText="1"/>
    </xf>
    <xf numFmtId="180" fontId="0" fillId="0" borderId="1" xfId="1" applyNumberFormat="1" applyBorder="1" applyAlignment="1">
      <alignment horizontal="left" vertical="center"/>
    </xf>
    <xf numFmtId="182" fontId="0" fillId="0" borderId="1" xfId="3" applyNumberFormat="1" applyBorder="1" applyAlignment="1">
      <alignment horizontal="left" vertical="center"/>
    </xf>
    <xf numFmtId="182" fontId="0" fillId="0" borderId="0" xfId="3" applyNumberFormat="1">
      <alignment vertical="center"/>
    </xf>
    <xf numFmtId="0" fontId="0" fillId="0" borderId="1" xfId="0" applyBorder="1" applyAlignment="1">
      <alignment horizontal="left" vertical="center"/>
    </xf>
    <xf numFmtId="0" fontId="0" fillId="0" borderId="0" xfId="3" applyNumberFormat="1">
      <alignment vertical="center"/>
    </xf>
    <xf numFmtId="180" fontId="0" fillId="0" borderId="1" xfId="0" applyNumberFormat="1" applyBorder="1" applyAlignment="1">
      <alignment horizontal="left" vertical="center"/>
    </xf>
    <xf numFmtId="0" fontId="0" fillId="0" borderId="0" xfId="0" applyAlignment="1"/>
    <xf numFmtId="0" fontId="1" fillId="0" borderId="0" xfId="0" applyFont="1" applyAlignment="1">
      <alignment horizontal="center" wrapText="1"/>
    </xf>
    <xf numFmtId="0" fontId="1" fillId="0" borderId="0" xfId="0" applyFont="1" applyAlignment="1">
      <alignment horizontal="center" vertical="top"/>
    </xf>
    <xf numFmtId="183" fontId="0" fillId="0" borderId="0" xfId="0" applyNumberFormat="1" applyAlignment="1">
      <alignment wrapText="1"/>
    </xf>
    <xf numFmtId="2" fontId="0" fillId="0" borderId="0" xfId="0" applyNumberFormat="1" applyAlignment="1">
      <alignment wrapText="1"/>
    </xf>
    <xf numFmtId="182" fontId="0" fillId="0" borderId="0" xfId="0" applyNumberFormat="1" applyAlignment="1">
      <alignment wrapText="1"/>
    </xf>
    <xf numFmtId="0" fontId="0" fillId="0" borderId="0" xfId="0" applyAlignment="1">
      <alignment vertical="top"/>
    </xf>
    <xf numFmtId="180" fontId="0" fillId="0" borderId="0" xfId="3" applyNumberFormat="1">
      <alignment vertical="center"/>
    </xf>
    <xf numFmtId="10" fontId="0" fillId="0" borderId="0" xfId="0" applyNumberFormat="1" applyAlignment="1">
      <alignment wrapText="1"/>
    </xf>
    <xf numFmtId="2" fontId="0" fillId="0" borderId="0" xfId="3" applyNumberFormat="1">
      <alignment vertical="center"/>
    </xf>
    <xf numFmtId="0" fontId="0" fillId="0" borderId="0" xfId="0" applyAlignment="1">
      <alignment horizontal="left" vertical="top"/>
    </xf>
    <xf numFmtId="4" fontId="0" fillId="0" borderId="0" xfId="0" applyNumberFormat="1" applyAlignment="1">
      <alignment wrapText="1"/>
    </xf>
    <xf numFmtId="0" fontId="1" fillId="0" borderId="0" xfId="0" applyFont="1" applyAlignment="1">
      <alignment horizontal="center" vertical="top" wrapText="1"/>
    </xf>
    <xf numFmtId="0" fontId="0" fillId="0" borderId="0" xfId="0" applyAlignment="1">
      <alignment vertical="top" wrapText="1"/>
    </xf>
    <xf numFmtId="0" fontId="1" fillId="0" borderId="0" xfId="0" applyFont="1" applyAlignment="1">
      <alignment horizontal="center"/>
    </xf>
    <xf numFmtId="0" fontId="0" fillId="0" borderId="0" xfId="0" applyFont="1" applyAlignment="1">
      <alignment vertical="top" wrapText="1"/>
    </xf>
    <xf numFmtId="2" fontId="0" fillId="0" borderId="0" xfId="0" applyNumberFormat="1" applyFont="1" applyAlignment="1">
      <alignment wrapText="1"/>
    </xf>
    <xf numFmtId="10" fontId="0" fillId="0" borderId="0" xfId="0" applyNumberFormat="1" applyFont="1" applyAlignment="1"/>
    <xf numFmtId="178" fontId="0" fillId="0" borderId="0" xfId="1" applyNumberFormat="1" applyAlignment="1"/>
    <xf numFmtId="9" fontId="0" fillId="0" borderId="0" xfId="3" applyAlignment="1"/>
    <xf numFmtId="184" fontId="0" fillId="0" borderId="0" xfId="1" applyNumberFormat="1" applyAlignment="1"/>
    <xf numFmtId="185"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84" fontId="1" fillId="0" borderId="1" xfId="1" applyNumberFormat="1" applyFont="1" applyBorder="1" applyAlignment="1"/>
    <xf numFmtId="185"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vertical="center"/>
    </xf>
    <xf numFmtId="9" fontId="0" fillId="0" borderId="1" xfId="3" applyBorder="1" applyAlignment="1">
      <alignment horizontal="center" vertical="center"/>
    </xf>
    <xf numFmtId="178" fontId="0" fillId="0" borderId="1" xfId="1" applyNumberFormat="1" applyBorder="1" applyAlignment="1"/>
    <xf numFmtId="184" fontId="0" fillId="0" borderId="1" xfId="1" applyNumberFormat="1" applyBorder="1" applyAlignment="1"/>
    <xf numFmtId="185" fontId="0" fillId="0" borderId="1" xfId="1" applyNumberFormat="1" applyBorder="1" applyAlignment="1"/>
    <xf numFmtId="178" fontId="0" fillId="0" borderId="1" xfId="1" applyNumberFormat="1" applyBorder="1" applyAlignment="1">
      <alignment horizontal="left"/>
    </xf>
    <xf numFmtId="178" fontId="0" fillId="0" borderId="1" xfId="1" applyNumberFormat="1" applyBorder="1" applyAlignment="1">
      <alignment horizontal="center"/>
    </xf>
    <xf numFmtId="9" fontId="0" fillId="0" borderId="1" xfId="3" applyNumberFormat="1" applyBorder="1" applyAlignment="1">
      <alignment horizontal="center"/>
    </xf>
    <xf numFmtId="0" fontId="0" fillId="0" borderId="1" xfId="0" applyBorder="1"/>
    <xf numFmtId="10" fontId="0" fillId="0" borderId="1" xfId="3" applyNumberFormat="1" applyBorder="1" applyAlignment="1"/>
    <xf numFmtId="9" fontId="0" fillId="0" borderId="1" xfId="3" applyBorder="1" applyAlignment="1">
      <alignment horizontal="center"/>
    </xf>
    <xf numFmtId="178" fontId="0" fillId="0" borderId="1" xfId="1" applyNumberFormat="1" applyBorder="1" applyAlignment="1">
      <alignment horizontal="left" vertical="center"/>
    </xf>
    <xf numFmtId="0" fontId="0" fillId="0" borderId="1" xfId="0" applyBorder="1" applyAlignment="1">
      <alignment horizontal="center"/>
    </xf>
    <xf numFmtId="178" fontId="0" fillId="0" borderId="1" xfId="1" applyNumberFormat="1" applyBorder="1" applyAlignment="1">
      <alignment horizontal="right"/>
    </xf>
    <xf numFmtId="10" fontId="0" fillId="0" borderId="1" xfId="3" applyNumberFormat="1" applyBorder="1" applyAlignment="1">
      <alignment horizontal="right"/>
    </xf>
    <xf numFmtId="184" fontId="0" fillId="0" borderId="1" xfId="3" applyNumberFormat="1" applyBorder="1" applyAlignment="1"/>
    <xf numFmtId="0" fontId="2" fillId="0" borderId="0" xfId="0" applyFont="1"/>
    <xf numFmtId="0" fontId="0" fillId="0" borderId="0" xfId="0" applyFont="1"/>
    <xf numFmtId="184" fontId="0" fillId="0" borderId="0" xfId="0" applyNumberFormat="1"/>
    <xf numFmtId="2" fontId="0" fillId="0" borderId="0" xfId="0" applyNumberFormat="1" applyFont="1"/>
    <xf numFmtId="9" fontId="0" fillId="0" borderId="0" xfId="3" applyNumberFormat="1" applyAlignment="1"/>
    <xf numFmtId="2" fontId="0" fillId="0" borderId="0" xfId="1" applyNumberFormat="1">
      <alignment vertical="center"/>
    </xf>
    <xf numFmtId="0" fontId="3" fillId="0" borderId="0" xfId="0" applyFont="1"/>
    <xf numFmtId="0" fontId="4" fillId="0" borderId="0" xfId="0" applyFont="1"/>
    <xf numFmtId="0" fontId="2" fillId="0" borderId="0" xfId="0" applyFont="1" applyAlignment="1">
      <alignment horizontal="left"/>
    </xf>
    <xf numFmtId="0" fontId="2" fillId="0" borderId="0" xfId="0" applyFont="1" applyAlignment="1">
      <alignment horizontal="left" vertical="top" wrapText="1"/>
    </xf>
    <xf numFmtId="184" fontId="0" fillId="0" borderId="0" xfId="1" applyNumberFormat="1" applyAlignment="1">
      <alignment vertical="top" wrapText="1"/>
    </xf>
    <xf numFmtId="178" fontId="0" fillId="0" borderId="0" xfId="1" applyNumberFormat="1" applyAlignment="1">
      <alignment horizontal="left"/>
    </xf>
    <xf numFmtId="9" fontId="0" fillId="0" borderId="0" xfId="0" applyNumberFormat="1"/>
    <xf numFmtId="178" fontId="0" fillId="0" borderId="0" xfId="1" applyNumberFormat="1" applyBorder="1" applyAlignment="1"/>
    <xf numFmtId="184" fontId="0" fillId="0" borderId="0" xfId="1" applyNumberFormat="1" applyBorder="1" applyAlignment="1"/>
    <xf numFmtId="176" fontId="0" fillId="0" borderId="0" xfId="0" applyNumberFormat="1"/>
    <xf numFmtId="184" fontId="2" fillId="0" borderId="0" xfId="0" applyNumberFormat="1" applyFont="1"/>
    <xf numFmtId="184" fontId="0" fillId="0" borderId="0" xfId="0" applyNumberFormat="1" applyFont="1"/>
    <xf numFmtId="0" fontId="0" fillId="0" borderId="0" xfId="0" applyFont="1" applyAlignment="1">
      <alignment horizontal="center"/>
    </xf>
    <xf numFmtId="0" fontId="0" fillId="0" borderId="0" xfId="0" applyFont="1" applyAlignment="1">
      <alignment horizontal="left"/>
    </xf>
    <xf numFmtId="184" fontId="1" fillId="0" borderId="0" xfId="0" applyNumberFormat="1" applyFont="1"/>
    <xf numFmtId="0" fontId="0" fillId="0" borderId="0" xfId="0" applyFont="1" applyAlignment="1">
      <alignment vertical="top"/>
    </xf>
    <xf numFmtId="184" fontId="0" fillId="0" borderId="0" xfId="0" applyNumberFormat="1" applyAlignment="1"/>
    <xf numFmtId="0" fontId="1" fillId="0" borderId="0" xfId="0" applyFont="1" applyAlignment="1">
      <alignment wrapText="1"/>
    </xf>
    <xf numFmtId="0" fontId="0" fillId="0" borderId="0" xfId="0" applyFont="1" applyAlignment="1">
      <alignment wrapText="1"/>
    </xf>
    <xf numFmtId="0" fontId="1" fillId="0" borderId="1" xfId="0" applyFont="1" applyBorder="1" applyAlignment="1">
      <alignment wrapText="1"/>
    </xf>
    <xf numFmtId="0" fontId="0" fillId="0" borderId="1" xfId="0" applyBorder="1" applyAlignment="1"/>
    <xf numFmtId="0" fontId="0" fillId="0" borderId="1" xfId="0" applyBorder="1" applyAlignment="1">
      <alignment wrapText="1"/>
    </xf>
    <xf numFmtId="0" fontId="0" fillId="0" borderId="1" xfId="0" applyFont="1" applyBorder="1" applyAlignment="1">
      <alignment wrapText="1"/>
    </xf>
    <xf numFmtId="0" fontId="1" fillId="0" borderId="1" xfId="0" applyFont="1" applyBorder="1" applyAlignment="1">
      <alignment horizontal="left" wrapText="1"/>
    </xf>
    <xf numFmtId="0" fontId="0" fillId="0" borderId="1" xfId="0" applyBorder="1" applyAlignment="1">
      <alignment horizontal="left" wrapText="1"/>
    </xf>
    <xf numFmtId="0" fontId="1" fillId="0" borderId="1" xfId="0" applyFont="1" applyBorder="1" applyAlignment="1">
      <alignment horizontal="left"/>
    </xf>
    <xf numFmtId="0" fontId="0" fillId="0" borderId="0" xfId="0" applyAlignment="1">
      <alignment horizontal="left"/>
    </xf>
    <xf numFmtId="0" fontId="0" fillId="0" borderId="1" xfId="0" applyNumberFormat="1" applyBorder="1" applyAlignment="1" quotePrefix="1">
      <alignment horizontal="lef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www.wps.cn/officeDocument/2023/relationships/customStorage" Target="customStorage/customStorage.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60"/>
  <sheetViews>
    <sheetView showGridLines="0" topLeftCell="A113" workbookViewId="0">
      <selection activeCell="C122" sqref="C122"/>
    </sheetView>
  </sheetViews>
  <sheetFormatPr defaultColWidth="9" defaultRowHeight="15" outlineLevelCol="2"/>
  <cols>
    <col min="1" max="1" width="23.5714285714286" style="52" customWidth="1"/>
    <col min="2" max="2" width="29.5714285714286" style="52" customWidth="1"/>
    <col min="3" max="3" width="125" style="52" customWidth="1"/>
    <col min="4" max="16384" width="9" style="52"/>
  </cols>
  <sheetData>
    <row r="1" s="140" customFormat="1" spans="1:3">
      <c r="A1" s="142" t="s">
        <v>25</v>
      </c>
      <c r="B1" s="142"/>
      <c r="C1" s="142"/>
    </row>
    <row r="2" s="73" customFormat="1" spans="1:3">
      <c r="A2" s="143" t="s">
        <v>26</v>
      </c>
      <c r="B2" s="143"/>
      <c r="C2" s="143"/>
    </row>
    <row r="3" spans="1:3">
      <c r="A3" s="144"/>
      <c r="B3" s="144"/>
      <c r="C3" s="144"/>
    </row>
    <row r="4" s="140" customFormat="1" spans="1:3">
      <c r="A4" s="146" t="s">
        <v>27</v>
      </c>
      <c r="B4" s="146" t="s">
        <v>28</v>
      </c>
      <c r="C4" s="146" t="s">
        <v>29</v>
      </c>
    </row>
    <row r="5" s="140" customFormat="1" ht="30" spans="1:3">
      <c r="A5" s="146" t="s">
        <v>30</v>
      </c>
      <c r="B5" s="146"/>
      <c r="C5" s="146"/>
    </row>
    <row r="6" ht="30" spans="1:3">
      <c r="A6" s="147" t="s">
        <v>31</v>
      </c>
      <c r="B6" s="147" t="s">
        <v>32</v>
      </c>
      <c r="C6" s="147" t="s">
        <v>33</v>
      </c>
    </row>
    <row r="7" spans="1:3">
      <c r="A7" s="147" t="s">
        <v>31</v>
      </c>
      <c r="B7" s="147" t="s">
        <v>34</v>
      </c>
      <c r="C7" s="147" t="s">
        <v>35</v>
      </c>
    </row>
    <row r="8" spans="1:3">
      <c r="A8" s="147" t="s">
        <v>31</v>
      </c>
      <c r="B8" s="147" t="s">
        <v>36</v>
      </c>
      <c r="C8" s="147" t="s">
        <v>37</v>
      </c>
    </row>
    <row r="9" ht="30" spans="1:3">
      <c r="A9" s="147" t="s">
        <v>31</v>
      </c>
      <c r="B9" s="147" t="s">
        <v>38</v>
      </c>
      <c r="C9" s="147" t="s">
        <v>39</v>
      </c>
    </row>
    <row r="10" ht="30" spans="1:3">
      <c r="A10" s="147" t="s">
        <v>31</v>
      </c>
      <c r="B10" s="147" t="s">
        <v>40</v>
      </c>
      <c r="C10" s="147" t="s">
        <v>41</v>
      </c>
    </row>
    <row r="11" s="140" customFormat="1" spans="1:3">
      <c r="A11" s="146" t="s">
        <v>42</v>
      </c>
      <c r="B11" s="146"/>
      <c r="C11" s="146"/>
    </row>
    <row r="12" ht="30" spans="1:3">
      <c r="A12" s="147" t="s">
        <v>43</v>
      </c>
      <c r="B12" s="147" t="s">
        <v>44</v>
      </c>
      <c r="C12" s="147" t="s">
        <v>45</v>
      </c>
    </row>
    <row r="13" ht="30" spans="1:3">
      <c r="A13" s="147" t="s">
        <v>43</v>
      </c>
      <c r="B13" s="147" t="s">
        <v>46</v>
      </c>
      <c r="C13" s="147" t="s">
        <v>47</v>
      </c>
    </row>
    <row r="14" ht="30" spans="1:3">
      <c r="A14" s="147" t="s">
        <v>43</v>
      </c>
      <c r="B14" s="147" t="s">
        <v>48</v>
      </c>
      <c r="C14" s="147" t="s">
        <v>49</v>
      </c>
    </row>
    <row r="15" spans="1:3">
      <c r="A15" s="147" t="s">
        <v>43</v>
      </c>
      <c r="B15" s="147" t="s">
        <v>50</v>
      </c>
      <c r="C15" s="147" t="s">
        <v>51</v>
      </c>
    </row>
    <row r="16" spans="1:3">
      <c r="A16" s="147" t="s">
        <v>43</v>
      </c>
      <c r="B16" s="147" t="s">
        <v>52</v>
      </c>
      <c r="C16" s="147" t="s">
        <v>53</v>
      </c>
    </row>
    <row r="17" ht="30" spans="1:3">
      <c r="A17" s="147" t="s">
        <v>43</v>
      </c>
      <c r="B17" s="147" t="s">
        <v>54</v>
      </c>
      <c r="C17" s="147" t="s">
        <v>55</v>
      </c>
    </row>
    <row r="18" ht="30" spans="1:3">
      <c r="A18" s="147" t="s">
        <v>43</v>
      </c>
      <c r="B18" s="147" t="s">
        <v>56</v>
      </c>
      <c r="C18" s="147" t="s">
        <v>57</v>
      </c>
    </row>
    <row r="19" ht="30" spans="1:3">
      <c r="A19" s="147" t="s">
        <v>43</v>
      </c>
      <c r="B19" s="147" t="s">
        <v>58</v>
      </c>
      <c r="C19" s="147" t="s">
        <v>59</v>
      </c>
    </row>
    <row r="20" s="140" customFormat="1" spans="1:3">
      <c r="A20" s="146" t="s">
        <v>60</v>
      </c>
      <c r="B20" s="146"/>
      <c r="C20" s="146"/>
    </row>
    <row r="21" ht="30" spans="1:3">
      <c r="A21" s="147" t="s">
        <v>61</v>
      </c>
      <c r="B21" s="147" t="s">
        <v>62</v>
      </c>
      <c r="C21" s="147" t="s">
        <v>63</v>
      </c>
    </row>
    <row r="22" ht="30" spans="1:3">
      <c r="A22" s="147" t="s">
        <v>61</v>
      </c>
      <c r="B22" s="147" t="s">
        <v>64</v>
      </c>
      <c r="C22" s="147" t="s">
        <v>65</v>
      </c>
    </row>
    <row r="23" ht="30" spans="1:3">
      <c r="A23" s="147" t="s">
        <v>61</v>
      </c>
      <c r="B23" s="147" t="s">
        <v>66</v>
      </c>
      <c r="C23" s="147" t="s">
        <v>67</v>
      </c>
    </row>
    <row r="24" ht="45" spans="1:3">
      <c r="A24" s="147" t="s">
        <v>61</v>
      </c>
      <c r="B24" s="147" t="s">
        <v>68</v>
      </c>
      <c r="C24" s="147" t="s">
        <v>69</v>
      </c>
    </row>
    <row r="25" ht="30" spans="1:3">
      <c r="A25" s="147" t="s">
        <v>61</v>
      </c>
      <c r="B25" s="147" t="s">
        <v>70</v>
      </c>
      <c r="C25" s="147" t="s">
        <v>71</v>
      </c>
    </row>
    <row r="26" ht="30" spans="1:3">
      <c r="A26" s="147" t="s">
        <v>61</v>
      </c>
      <c r="B26" s="147" t="s">
        <v>72</v>
      </c>
      <c r="C26" s="147" t="s">
        <v>73</v>
      </c>
    </row>
    <row r="27" ht="30" spans="1:3">
      <c r="A27" s="147" t="s">
        <v>61</v>
      </c>
      <c r="B27" s="147" t="s">
        <v>74</v>
      </c>
      <c r="C27" s="147" t="s">
        <v>75</v>
      </c>
    </row>
    <row r="28" ht="30" spans="1:3">
      <c r="A28" s="147" t="s">
        <v>61</v>
      </c>
      <c r="B28" s="147" t="s">
        <v>76</v>
      </c>
      <c r="C28" s="147" t="s">
        <v>77</v>
      </c>
    </row>
    <row r="29" ht="30" spans="1:3">
      <c r="A29" s="147" t="s">
        <v>61</v>
      </c>
      <c r="B29" s="147" t="s">
        <v>78</v>
      </c>
      <c r="C29" s="147" t="s">
        <v>79</v>
      </c>
    </row>
    <row r="30" ht="30" spans="1:3">
      <c r="A30" s="147" t="s">
        <v>61</v>
      </c>
      <c r="B30" s="147" t="s">
        <v>80</v>
      </c>
      <c r="C30" s="147" t="s">
        <v>81</v>
      </c>
    </row>
    <row r="31" ht="30" spans="1:3">
      <c r="A31" s="147" t="s">
        <v>61</v>
      </c>
      <c r="B31" s="147" t="s">
        <v>82</v>
      </c>
      <c r="C31" s="147" t="s">
        <v>83</v>
      </c>
    </row>
    <row r="32" ht="30" spans="1:3">
      <c r="A32" s="147" t="s">
        <v>61</v>
      </c>
      <c r="B32" s="147" t="s">
        <v>84</v>
      </c>
      <c r="C32" s="147" t="s">
        <v>85</v>
      </c>
    </row>
    <row r="33" s="140" customFormat="1" spans="1:3">
      <c r="A33" s="146" t="s">
        <v>86</v>
      </c>
      <c r="B33" s="146"/>
      <c r="C33" s="146"/>
    </row>
    <row r="34" spans="1:3">
      <c r="A34" s="147" t="s">
        <v>87</v>
      </c>
      <c r="B34" s="147" t="s">
        <v>88</v>
      </c>
      <c r="C34" s="147" t="s">
        <v>89</v>
      </c>
    </row>
    <row r="35" spans="1:3">
      <c r="A35" s="147" t="s">
        <v>87</v>
      </c>
      <c r="B35" s="147" t="s">
        <v>90</v>
      </c>
      <c r="C35" s="147" t="s">
        <v>91</v>
      </c>
    </row>
    <row r="36" spans="1:3">
      <c r="A36" s="147" t="s">
        <v>87</v>
      </c>
      <c r="B36" s="147" t="s">
        <v>92</v>
      </c>
      <c r="C36" s="147" t="s">
        <v>93</v>
      </c>
    </row>
    <row r="37" spans="1:3">
      <c r="A37" s="147" t="s">
        <v>87</v>
      </c>
      <c r="B37" s="147" t="s">
        <v>94</v>
      </c>
      <c r="C37" s="147" t="s">
        <v>95</v>
      </c>
    </row>
    <row r="38" spans="1:3">
      <c r="A38" s="147" t="s">
        <v>87</v>
      </c>
      <c r="B38" s="147" t="s">
        <v>96</v>
      </c>
      <c r="C38" s="147" t="s">
        <v>97</v>
      </c>
    </row>
    <row r="39" spans="1:3">
      <c r="A39" s="147" t="s">
        <v>87</v>
      </c>
      <c r="B39" s="147" t="s">
        <v>98</v>
      </c>
      <c r="C39" s="147" t="s">
        <v>99</v>
      </c>
    </row>
    <row r="40" ht="30" spans="1:3">
      <c r="A40" s="147" t="s">
        <v>87</v>
      </c>
      <c r="B40" s="147" t="s">
        <v>100</v>
      </c>
      <c r="C40" s="147" t="s">
        <v>101</v>
      </c>
    </row>
    <row r="41" spans="1:3">
      <c r="A41" s="147" t="s">
        <v>87</v>
      </c>
      <c r="B41" s="147" t="s">
        <v>102</v>
      </c>
      <c r="C41" s="147" t="s">
        <v>103</v>
      </c>
    </row>
    <row r="42" ht="30" spans="1:3">
      <c r="A42" s="147" t="s">
        <v>87</v>
      </c>
      <c r="B42" s="147" t="s">
        <v>104</v>
      </c>
      <c r="C42" s="147" t="s">
        <v>105</v>
      </c>
    </row>
    <row r="43" ht="30" spans="1:3">
      <c r="A43" s="147" t="s">
        <v>87</v>
      </c>
      <c r="B43" s="147" t="s">
        <v>106</v>
      </c>
      <c r="C43" s="147" t="s">
        <v>107</v>
      </c>
    </row>
    <row r="44" s="140" customFormat="1" spans="1:3">
      <c r="A44" s="146" t="s">
        <v>108</v>
      </c>
      <c r="B44" s="146"/>
      <c r="C44" s="146"/>
    </row>
    <row r="45" spans="1:3">
      <c r="A45" s="147" t="s">
        <v>109</v>
      </c>
      <c r="B45" s="147" t="s">
        <v>110</v>
      </c>
      <c r="C45" s="147" t="s">
        <v>111</v>
      </c>
    </row>
    <row r="46" spans="1:3">
      <c r="A46" s="147" t="s">
        <v>109</v>
      </c>
      <c r="B46" s="147" t="s">
        <v>112</v>
      </c>
      <c r="C46" s="147" t="s">
        <v>113</v>
      </c>
    </row>
    <row r="47" spans="1:3">
      <c r="A47" s="147" t="s">
        <v>109</v>
      </c>
      <c r="B47" s="147" t="s">
        <v>114</v>
      </c>
      <c r="C47" s="147" t="s">
        <v>115</v>
      </c>
    </row>
    <row r="48" spans="1:3">
      <c r="A48" s="147" t="s">
        <v>116</v>
      </c>
      <c r="B48" s="147" t="s">
        <v>117</v>
      </c>
      <c r="C48" s="147" t="s">
        <v>118</v>
      </c>
    </row>
    <row r="49" spans="1:3">
      <c r="A49" s="147" t="s">
        <v>116</v>
      </c>
      <c r="B49" s="147" t="s">
        <v>119</v>
      </c>
      <c r="C49" s="147" t="s">
        <v>120</v>
      </c>
    </row>
    <row r="50" spans="1:3">
      <c r="A50" s="147" t="s">
        <v>116</v>
      </c>
      <c r="B50" s="147" t="s">
        <v>121</v>
      </c>
      <c r="C50" s="147" t="s">
        <v>122</v>
      </c>
    </row>
    <row r="51" spans="1:3">
      <c r="A51" s="147" t="s">
        <v>116</v>
      </c>
      <c r="B51" s="147" t="s">
        <v>123</v>
      </c>
      <c r="C51" s="147" t="s">
        <v>124</v>
      </c>
    </row>
    <row r="52" ht="30" spans="1:3">
      <c r="A52" s="147" t="s">
        <v>116</v>
      </c>
      <c r="B52" s="147" t="s">
        <v>125</v>
      </c>
      <c r="C52" s="147" t="s">
        <v>126</v>
      </c>
    </row>
    <row r="53" ht="30" spans="1:3">
      <c r="A53" s="147" t="s">
        <v>116</v>
      </c>
      <c r="B53" s="147" t="s">
        <v>127</v>
      </c>
      <c r="C53" s="147" t="s">
        <v>128</v>
      </c>
    </row>
    <row r="54" spans="1:3">
      <c r="A54" s="147" t="s">
        <v>116</v>
      </c>
      <c r="B54" s="147" t="s">
        <v>129</v>
      </c>
      <c r="C54" s="147" t="s">
        <v>130</v>
      </c>
    </row>
    <row r="55" spans="1:3">
      <c r="A55" s="147" t="s">
        <v>131</v>
      </c>
      <c r="B55" s="147" t="s">
        <v>132</v>
      </c>
      <c r="C55" s="147" t="s">
        <v>133</v>
      </c>
    </row>
    <row r="56" spans="1:3">
      <c r="A56" s="147" t="s">
        <v>131</v>
      </c>
      <c r="B56" s="147" t="s">
        <v>134</v>
      </c>
      <c r="C56" s="147" t="s">
        <v>135</v>
      </c>
    </row>
    <row r="57" spans="1:3">
      <c r="A57" s="147" t="s">
        <v>136</v>
      </c>
      <c r="B57" s="147" t="s">
        <v>137</v>
      </c>
      <c r="C57" s="147" t="s">
        <v>138</v>
      </c>
    </row>
    <row r="58" spans="1:3">
      <c r="A58" s="147" t="s">
        <v>136</v>
      </c>
      <c r="B58" s="147" t="s">
        <v>139</v>
      </c>
      <c r="C58" s="147" t="s">
        <v>140</v>
      </c>
    </row>
    <row r="59" spans="1:3">
      <c r="A59" s="147" t="s">
        <v>136</v>
      </c>
      <c r="B59" s="147" t="s">
        <v>141</v>
      </c>
      <c r="C59" s="147" t="s">
        <v>142</v>
      </c>
    </row>
    <row r="60" spans="1:3">
      <c r="A60" s="147" t="s">
        <v>136</v>
      </c>
      <c r="B60" s="147" t="s">
        <v>143</v>
      </c>
      <c r="C60" s="147" t="s">
        <v>144</v>
      </c>
    </row>
    <row r="61" spans="1:3">
      <c r="A61" s="147" t="s">
        <v>136</v>
      </c>
      <c r="B61" s="147" t="s">
        <v>145</v>
      </c>
      <c r="C61" s="147" t="s">
        <v>146</v>
      </c>
    </row>
    <row r="62" ht="30" spans="1:3">
      <c r="A62" s="147" t="s">
        <v>147</v>
      </c>
      <c r="B62" s="147" t="s">
        <v>148</v>
      </c>
      <c r="C62" s="147" t="s">
        <v>149</v>
      </c>
    </row>
    <row r="63" s="140" customFormat="1" spans="1:3">
      <c r="A63" s="146" t="s">
        <v>150</v>
      </c>
      <c r="B63" s="146"/>
      <c r="C63" s="146"/>
    </row>
    <row r="64" spans="1:3">
      <c r="A64" s="147" t="s">
        <v>151</v>
      </c>
      <c r="B64" s="147" t="s">
        <v>152</v>
      </c>
      <c r="C64" s="147" t="s">
        <v>153</v>
      </c>
    </row>
    <row r="65" spans="1:3">
      <c r="A65" s="147" t="s">
        <v>151</v>
      </c>
      <c r="B65" s="147" t="s">
        <v>154</v>
      </c>
      <c r="C65" s="147" t="s">
        <v>155</v>
      </c>
    </row>
    <row r="66" spans="1:3">
      <c r="A66" s="147" t="s">
        <v>156</v>
      </c>
      <c r="B66" s="147" t="s">
        <v>152</v>
      </c>
      <c r="C66" s="147" t="s">
        <v>157</v>
      </c>
    </row>
    <row r="67" ht="30" spans="1:3">
      <c r="A67" s="147" t="s">
        <v>156</v>
      </c>
      <c r="B67" s="147" t="s">
        <v>154</v>
      </c>
      <c r="C67" s="147" t="s">
        <v>158</v>
      </c>
    </row>
    <row r="68" spans="1:3">
      <c r="A68" s="147" t="s">
        <v>159</v>
      </c>
      <c r="B68" s="147" t="s">
        <v>152</v>
      </c>
      <c r="C68" s="147" t="s">
        <v>160</v>
      </c>
    </row>
    <row r="69" spans="1:3">
      <c r="A69" s="147" t="s">
        <v>159</v>
      </c>
      <c r="B69" s="147" t="s">
        <v>161</v>
      </c>
      <c r="C69" s="147" t="s">
        <v>162</v>
      </c>
    </row>
    <row r="70" spans="1:3">
      <c r="A70" s="147" t="s">
        <v>159</v>
      </c>
      <c r="B70" s="147" t="s">
        <v>163</v>
      </c>
      <c r="C70" s="147" t="s">
        <v>164</v>
      </c>
    </row>
    <row r="71" spans="1:3">
      <c r="A71" s="147" t="s">
        <v>159</v>
      </c>
      <c r="B71" s="147" t="s">
        <v>165</v>
      </c>
      <c r="C71" s="147" t="s">
        <v>166</v>
      </c>
    </row>
    <row r="72" spans="1:3">
      <c r="A72" s="147" t="s">
        <v>159</v>
      </c>
      <c r="B72" s="147" t="s">
        <v>167</v>
      </c>
      <c r="C72" s="147" t="s">
        <v>168</v>
      </c>
    </row>
    <row r="73" spans="1:3">
      <c r="A73" s="147" t="s">
        <v>169</v>
      </c>
      <c r="B73" s="147" t="s">
        <v>152</v>
      </c>
      <c r="C73" s="147" t="s">
        <v>170</v>
      </c>
    </row>
    <row r="74" spans="1:3">
      <c r="A74" s="147" t="s">
        <v>169</v>
      </c>
      <c r="B74" s="147" t="s">
        <v>171</v>
      </c>
      <c r="C74" s="147" t="s">
        <v>172</v>
      </c>
    </row>
    <row r="75" spans="1:3">
      <c r="A75" s="147" t="s">
        <v>169</v>
      </c>
      <c r="B75" s="147" t="s">
        <v>173</v>
      </c>
      <c r="C75" s="147" t="s">
        <v>174</v>
      </c>
    </row>
    <row r="76" spans="1:3">
      <c r="A76" s="147" t="s">
        <v>169</v>
      </c>
      <c r="B76" s="147" t="s">
        <v>175</v>
      </c>
      <c r="C76" s="147" t="s">
        <v>176</v>
      </c>
    </row>
    <row r="77" ht="30" spans="1:3">
      <c r="A77" s="147" t="s">
        <v>169</v>
      </c>
      <c r="B77" s="147" t="s">
        <v>177</v>
      </c>
      <c r="C77" s="147" t="s">
        <v>178</v>
      </c>
    </row>
    <row r="78" spans="1:3">
      <c r="A78" s="147" t="s">
        <v>169</v>
      </c>
      <c r="B78" s="147" t="s">
        <v>179</v>
      </c>
      <c r="C78" s="147" t="s">
        <v>180</v>
      </c>
    </row>
    <row r="79" ht="30" spans="1:3">
      <c r="A79" s="147" t="s">
        <v>169</v>
      </c>
      <c r="B79" s="147" t="s">
        <v>181</v>
      </c>
      <c r="C79" s="147" t="s">
        <v>182</v>
      </c>
    </row>
    <row r="80" spans="1:3">
      <c r="A80" s="147" t="s">
        <v>183</v>
      </c>
      <c r="B80" s="147" t="s">
        <v>152</v>
      </c>
      <c r="C80" s="147" t="s">
        <v>184</v>
      </c>
    </row>
    <row r="81" spans="1:3">
      <c r="A81" s="147" t="s">
        <v>183</v>
      </c>
      <c r="B81" s="147" t="s">
        <v>154</v>
      </c>
      <c r="C81" s="147" t="s">
        <v>185</v>
      </c>
    </row>
    <row r="82" spans="1:3">
      <c r="A82" s="147" t="s">
        <v>183</v>
      </c>
      <c r="B82" s="147" t="s">
        <v>186</v>
      </c>
      <c r="C82" s="147" t="s">
        <v>187</v>
      </c>
    </row>
    <row r="83" spans="1:3">
      <c r="A83" s="147" t="s">
        <v>188</v>
      </c>
      <c r="B83" s="147" t="s">
        <v>189</v>
      </c>
      <c r="C83" s="147" t="s">
        <v>190</v>
      </c>
    </row>
    <row r="84" spans="1:3">
      <c r="A84" s="147" t="s">
        <v>188</v>
      </c>
      <c r="B84" s="147" t="s">
        <v>191</v>
      </c>
      <c r="C84" s="147" t="s">
        <v>192</v>
      </c>
    </row>
    <row r="85" s="140" customFormat="1" spans="1:3">
      <c r="A85" s="146" t="s">
        <v>193</v>
      </c>
      <c r="B85" s="146"/>
      <c r="C85" s="146"/>
    </row>
    <row r="86" spans="1:3">
      <c r="A86" s="147" t="s">
        <v>194</v>
      </c>
      <c r="B86" s="147" t="s">
        <v>195</v>
      </c>
      <c r="C86" s="147" t="s">
        <v>196</v>
      </c>
    </row>
    <row r="87" spans="1:3">
      <c r="A87" s="147" t="s">
        <v>194</v>
      </c>
      <c r="B87" s="147" t="s">
        <v>197</v>
      </c>
      <c r="C87" s="147" t="s">
        <v>198</v>
      </c>
    </row>
    <row r="88" spans="1:3">
      <c r="A88" s="147" t="s">
        <v>194</v>
      </c>
      <c r="B88" s="147" t="s">
        <v>199</v>
      </c>
      <c r="C88" s="147" t="s">
        <v>200</v>
      </c>
    </row>
    <row r="89" ht="30" spans="1:3">
      <c r="A89" s="147" t="s">
        <v>194</v>
      </c>
      <c r="B89" s="147" t="s">
        <v>201</v>
      </c>
      <c r="C89" s="147" t="s">
        <v>202</v>
      </c>
    </row>
    <row r="90" spans="1:3">
      <c r="A90" s="147" t="s">
        <v>203</v>
      </c>
      <c r="B90" s="147" t="s">
        <v>195</v>
      </c>
      <c r="C90" s="147" t="s">
        <v>204</v>
      </c>
    </row>
    <row r="91" spans="1:3">
      <c r="A91" s="147" t="s">
        <v>203</v>
      </c>
      <c r="B91" s="147" t="s">
        <v>205</v>
      </c>
      <c r="C91" s="147" t="s">
        <v>206</v>
      </c>
    </row>
    <row r="92" ht="30" spans="1:3">
      <c r="A92" s="147" t="s">
        <v>203</v>
      </c>
      <c r="B92" s="147" t="s">
        <v>207</v>
      </c>
      <c r="C92" s="147" t="s">
        <v>208</v>
      </c>
    </row>
    <row r="93" ht="30" spans="1:3">
      <c r="A93" s="147" t="s">
        <v>203</v>
      </c>
      <c r="B93" s="147" t="s">
        <v>209</v>
      </c>
      <c r="C93" s="147" t="s">
        <v>210</v>
      </c>
    </row>
    <row r="94" spans="1:3">
      <c r="A94" s="147" t="s">
        <v>203</v>
      </c>
      <c r="B94" s="147" t="s">
        <v>211</v>
      </c>
      <c r="C94" s="147" t="s">
        <v>212</v>
      </c>
    </row>
    <row r="95" spans="1:3">
      <c r="A95" s="147" t="s">
        <v>203</v>
      </c>
      <c r="B95" s="147" t="s">
        <v>213</v>
      </c>
      <c r="C95" s="147" t="s">
        <v>214</v>
      </c>
    </row>
    <row r="96" spans="1:3">
      <c r="A96" s="147" t="s">
        <v>203</v>
      </c>
      <c r="B96" s="147" t="s">
        <v>215</v>
      </c>
      <c r="C96" s="147" t="s">
        <v>216</v>
      </c>
    </row>
    <row r="97" ht="30" spans="1:3">
      <c r="A97" s="147" t="s">
        <v>203</v>
      </c>
      <c r="B97" s="147" t="s">
        <v>217</v>
      </c>
      <c r="C97" s="147" t="s">
        <v>218</v>
      </c>
    </row>
    <row r="98" ht="30" spans="1:3">
      <c r="A98" s="147" t="s">
        <v>219</v>
      </c>
      <c r="B98" s="147" t="s">
        <v>220</v>
      </c>
      <c r="C98" s="147" t="s">
        <v>221</v>
      </c>
    </row>
    <row r="99" s="140" customFormat="1" ht="30" spans="1:3">
      <c r="A99" s="146" t="s">
        <v>222</v>
      </c>
      <c r="B99" s="146"/>
      <c r="C99" s="146"/>
    </row>
    <row r="100" ht="30" spans="1:3">
      <c r="A100" s="147" t="s">
        <v>211</v>
      </c>
      <c r="B100" s="147" t="s">
        <v>223</v>
      </c>
      <c r="C100" s="147" t="s">
        <v>224</v>
      </c>
    </row>
    <row r="101" ht="30" spans="1:3">
      <c r="A101" s="147" t="s">
        <v>211</v>
      </c>
      <c r="B101" s="147" t="s">
        <v>225</v>
      </c>
      <c r="C101" s="147" t="s">
        <v>226</v>
      </c>
    </row>
    <row r="102" ht="30" spans="1:3">
      <c r="A102" s="147" t="s">
        <v>151</v>
      </c>
      <c r="B102" s="147" t="s">
        <v>227</v>
      </c>
      <c r="C102" s="147" t="s">
        <v>228</v>
      </c>
    </row>
    <row r="103" ht="45" spans="1:3">
      <c r="A103" s="147" t="s">
        <v>151</v>
      </c>
      <c r="B103" s="147" t="s">
        <v>229</v>
      </c>
      <c r="C103" s="147" t="s">
        <v>230</v>
      </c>
    </row>
    <row r="104" ht="30" spans="1:3">
      <c r="A104" s="147" t="s">
        <v>231</v>
      </c>
      <c r="B104" s="147" t="s">
        <v>232</v>
      </c>
      <c r="C104" s="147" t="s">
        <v>233</v>
      </c>
    </row>
    <row r="105" ht="30" spans="1:3">
      <c r="A105" s="147" t="s">
        <v>234</v>
      </c>
      <c r="B105" s="147" t="s">
        <v>235</v>
      </c>
      <c r="C105" s="147" t="s">
        <v>236</v>
      </c>
    </row>
    <row r="106" ht="30" spans="1:3">
      <c r="A106" s="147" t="s">
        <v>237</v>
      </c>
      <c r="B106" s="147" t="s">
        <v>238</v>
      </c>
      <c r="C106" s="147" t="s">
        <v>239</v>
      </c>
    </row>
    <row r="107" ht="30" spans="1:3">
      <c r="A107" s="147" t="s">
        <v>237</v>
      </c>
      <c r="B107" s="147" t="s">
        <v>240</v>
      </c>
      <c r="C107" s="147" t="s">
        <v>241</v>
      </c>
    </row>
    <row r="108" ht="30" spans="1:3">
      <c r="A108" s="147" t="s">
        <v>237</v>
      </c>
      <c r="B108" s="147" t="s">
        <v>242</v>
      </c>
      <c r="C108" s="147" t="s">
        <v>243</v>
      </c>
    </row>
    <row r="109" ht="30" spans="1:3">
      <c r="A109" s="147" t="s">
        <v>244</v>
      </c>
      <c r="B109" s="147" t="s">
        <v>245</v>
      </c>
      <c r="C109" s="147" t="s">
        <v>246</v>
      </c>
    </row>
    <row r="110" ht="30" spans="1:3">
      <c r="A110" s="147" t="s">
        <v>247</v>
      </c>
      <c r="B110" s="147" t="s">
        <v>248</v>
      </c>
      <c r="C110" s="147" t="s">
        <v>249</v>
      </c>
    </row>
    <row r="111" s="140" customFormat="1" spans="1:3">
      <c r="A111" s="146" t="s">
        <v>250</v>
      </c>
      <c r="B111" s="146"/>
      <c r="C111" s="146"/>
    </row>
    <row r="112" spans="1:3">
      <c r="A112" s="147" t="s">
        <v>251</v>
      </c>
      <c r="B112" s="147" t="s">
        <v>252</v>
      </c>
      <c r="C112" s="147" t="s">
        <v>253</v>
      </c>
    </row>
    <row r="113" ht="30" spans="1:3">
      <c r="A113" s="147" t="s">
        <v>251</v>
      </c>
      <c r="B113" s="147" t="s">
        <v>254</v>
      </c>
      <c r="C113" s="147" t="s">
        <v>255</v>
      </c>
    </row>
    <row r="114" spans="1:3">
      <c r="A114" s="147" t="s">
        <v>251</v>
      </c>
      <c r="B114" s="147" t="s">
        <v>256</v>
      </c>
      <c r="C114" s="147" t="s">
        <v>257</v>
      </c>
    </row>
    <row r="115" spans="1:3">
      <c r="A115" s="147" t="s">
        <v>251</v>
      </c>
      <c r="B115" s="147" t="s">
        <v>258</v>
      </c>
      <c r="C115" s="147" t="s">
        <v>259</v>
      </c>
    </row>
    <row r="116" spans="1:3">
      <c r="A116" s="147" t="s">
        <v>251</v>
      </c>
      <c r="B116" s="147" t="s">
        <v>260</v>
      </c>
      <c r="C116" s="147" t="s">
        <v>261</v>
      </c>
    </row>
    <row r="117" spans="1:3">
      <c r="A117" s="147" t="s">
        <v>251</v>
      </c>
      <c r="B117" s="147" t="s">
        <v>242</v>
      </c>
      <c r="C117" s="147" t="s">
        <v>262</v>
      </c>
    </row>
    <row r="118" spans="1:3">
      <c r="A118" s="147" t="s">
        <v>263</v>
      </c>
      <c r="B118" s="147" t="s">
        <v>195</v>
      </c>
      <c r="C118" s="147" t="s">
        <v>264</v>
      </c>
    </row>
    <row r="119" ht="30" spans="1:3">
      <c r="A119" s="147" t="s">
        <v>263</v>
      </c>
      <c r="B119" s="147" t="s">
        <v>265</v>
      </c>
      <c r="C119" s="147" t="s">
        <v>266</v>
      </c>
    </row>
    <row r="120" ht="30" spans="1:3">
      <c r="A120" s="147" t="s">
        <v>263</v>
      </c>
      <c r="B120" s="147" t="s">
        <v>267</v>
      </c>
      <c r="C120" s="147" t="s">
        <v>268</v>
      </c>
    </row>
    <row r="121" ht="30" spans="1:3">
      <c r="A121" s="147" t="s">
        <v>263</v>
      </c>
      <c r="B121" s="147" t="s">
        <v>269</v>
      </c>
      <c r="C121" s="147" t="s">
        <v>270</v>
      </c>
    </row>
    <row r="122" ht="30" spans="1:3">
      <c r="A122" s="147" t="s">
        <v>271</v>
      </c>
      <c r="B122" s="147" t="s">
        <v>272</v>
      </c>
      <c r="C122" s="147" t="s">
        <v>273</v>
      </c>
    </row>
    <row r="123" spans="1:3">
      <c r="A123" s="147" t="s">
        <v>271</v>
      </c>
      <c r="B123" s="147" t="s">
        <v>274</v>
      </c>
      <c r="C123" s="147" t="s">
        <v>275</v>
      </c>
    </row>
    <row r="124" spans="1:3">
      <c r="A124" s="147" t="s">
        <v>271</v>
      </c>
      <c r="B124" s="147" t="s">
        <v>276</v>
      </c>
      <c r="C124" s="147" t="s">
        <v>277</v>
      </c>
    </row>
    <row r="125" spans="1:3">
      <c r="A125" s="147" t="s">
        <v>271</v>
      </c>
      <c r="B125" s="147" t="s">
        <v>278</v>
      </c>
      <c r="C125" s="147" t="s">
        <v>279</v>
      </c>
    </row>
    <row r="126" spans="1:3">
      <c r="A126" s="147" t="s">
        <v>271</v>
      </c>
      <c r="B126" s="147" t="s">
        <v>280</v>
      </c>
      <c r="C126" s="147" t="s">
        <v>281</v>
      </c>
    </row>
    <row r="127" ht="30" spans="1:3">
      <c r="A127" s="147" t="s">
        <v>271</v>
      </c>
      <c r="B127" s="147" t="s">
        <v>282</v>
      </c>
      <c r="C127" s="147" t="s">
        <v>283</v>
      </c>
    </row>
    <row r="128" spans="1:3">
      <c r="A128" s="147" t="s">
        <v>271</v>
      </c>
      <c r="B128" s="147" t="s">
        <v>284</v>
      </c>
      <c r="C128" s="147" t="s">
        <v>285</v>
      </c>
    </row>
    <row r="129" s="140" customFormat="1" spans="1:3">
      <c r="A129" s="146" t="s">
        <v>286</v>
      </c>
      <c r="B129" s="146"/>
      <c r="C129" s="146"/>
    </row>
    <row r="130" ht="30" spans="1:3">
      <c r="A130" s="147" t="s">
        <v>287</v>
      </c>
      <c r="B130" s="147" t="s">
        <v>288</v>
      </c>
      <c r="C130" s="147" t="s">
        <v>289</v>
      </c>
    </row>
    <row r="131" spans="1:3">
      <c r="A131" s="147" t="s">
        <v>290</v>
      </c>
      <c r="B131" s="147" t="s">
        <v>119</v>
      </c>
      <c r="C131" s="147" t="s">
        <v>291</v>
      </c>
    </row>
    <row r="132" spans="1:3">
      <c r="A132" s="147" t="s">
        <v>290</v>
      </c>
      <c r="B132" s="147" t="s">
        <v>292</v>
      </c>
      <c r="C132" s="147" t="s">
        <v>293</v>
      </c>
    </row>
    <row r="133" ht="30" spans="1:3">
      <c r="A133" s="147" t="s">
        <v>290</v>
      </c>
      <c r="B133" s="147" t="s">
        <v>294</v>
      </c>
      <c r="C133" s="147" t="s">
        <v>295</v>
      </c>
    </row>
    <row r="134" s="140" customFormat="1" spans="1:3">
      <c r="A134" s="148" t="s">
        <v>296</v>
      </c>
      <c r="B134" s="146"/>
      <c r="C134" s="146"/>
    </row>
    <row r="135" ht="30" spans="1:3">
      <c r="A135" s="147" t="s">
        <v>297</v>
      </c>
      <c r="B135" s="147" t="s">
        <v>298</v>
      </c>
      <c r="C135" s="147" t="s">
        <v>299</v>
      </c>
    </row>
    <row r="136" ht="30" spans="1:3">
      <c r="A136" s="147" t="s">
        <v>297</v>
      </c>
      <c r="B136" s="147" t="s">
        <v>300</v>
      </c>
      <c r="C136" s="147" t="s">
        <v>301</v>
      </c>
    </row>
    <row r="137" ht="30" spans="1:3">
      <c r="A137" s="147" t="s">
        <v>297</v>
      </c>
      <c r="B137" s="147" t="s">
        <v>302</v>
      </c>
      <c r="C137" s="147" t="s">
        <v>303</v>
      </c>
    </row>
    <row r="138" spans="1:3">
      <c r="A138" s="146" t="s">
        <v>304</v>
      </c>
      <c r="B138" s="146"/>
      <c r="C138" s="146"/>
    </row>
    <row r="139" spans="1:3">
      <c r="A139" s="147" t="s">
        <v>305</v>
      </c>
      <c r="B139" s="147" t="s">
        <v>195</v>
      </c>
      <c r="C139" s="147" t="s">
        <v>306</v>
      </c>
    </row>
    <row r="140" spans="1:3">
      <c r="A140" s="147" t="s">
        <v>305</v>
      </c>
      <c r="B140" s="147" t="s">
        <v>307</v>
      </c>
      <c r="C140" s="147" t="s">
        <v>308</v>
      </c>
    </row>
    <row r="141" ht="30" spans="1:3">
      <c r="A141" s="147" t="s">
        <v>305</v>
      </c>
      <c r="B141" s="147" t="s">
        <v>309</v>
      </c>
      <c r="C141" s="147" t="s">
        <v>310</v>
      </c>
    </row>
    <row r="142" ht="30" spans="1:3">
      <c r="A142" s="147" t="s">
        <v>305</v>
      </c>
      <c r="B142" s="147" t="s">
        <v>311</v>
      </c>
      <c r="C142" s="147" t="s">
        <v>312</v>
      </c>
    </row>
    <row r="143" spans="1:3">
      <c r="A143" s="147" t="s">
        <v>305</v>
      </c>
      <c r="B143" s="147" t="s">
        <v>313</v>
      </c>
      <c r="C143" s="147" t="s">
        <v>314</v>
      </c>
    </row>
    <row r="144" s="73" customFormat="1" spans="1:3">
      <c r="A144" s="2" t="s">
        <v>315</v>
      </c>
      <c r="B144" s="2"/>
      <c r="C144" s="2"/>
    </row>
    <row r="145" spans="1:3">
      <c r="A145" s="149" t="s">
        <v>316</v>
      </c>
      <c r="B145" s="149" t="s">
        <v>195</v>
      </c>
      <c r="C145" s="149" t="s">
        <v>317</v>
      </c>
    </row>
    <row r="146" spans="1:3">
      <c r="A146" s="149" t="s">
        <v>316</v>
      </c>
      <c r="B146" s="149" t="s">
        <v>307</v>
      </c>
      <c r="C146" s="149" t="s">
        <v>318</v>
      </c>
    </row>
    <row r="147" spans="1:3">
      <c r="A147" s="149" t="s">
        <v>316</v>
      </c>
      <c r="B147" s="149" t="s">
        <v>276</v>
      </c>
      <c r="C147" s="149" t="s">
        <v>319</v>
      </c>
    </row>
    <row r="148" spans="1:3">
      <c r="A148" s="149" t="s">
        <v>316</v>
      </c>
      <c r="B148" s="149" t="s">
        <v>320</v>
      </c>
      <c r="C148" s="149" t="s">
        <v>321</v>
      </c>
    </row>
    <row r="149" spans="1:3">
      <c r="A149" s="149" t="s">
        <v>316</v>
      </c>
      <c r="B149" s="149" t="s">
        <v>322</v>
      </c>
      <c r="C149" s="149" t="s">
        <v>323</v>
      </c>
    </row>
    <row r="150" spans="1:3">
      <c r="A150" s="149" t="s">
        <v>324</v>
      </c>
      <c r="B150" s="149" t="s">
        <v>195</v>
      </c>
      <c r="C150" s="149" t="s">
        <v>325</v>
      </c>
    </row>
    <row r="151" spans="1:3">
      <c r="A151" s="149" t="s">
        <v>324</v>
      </c>
      <c r="B151" s="149" t="s">
        <v>326</v>
      </c>
      <c r="C151" s="149" t="s">
        <v>327</v>
      </c>
    </row>
    <row r="152" spans="1:3">
      <c r="A152" s="149" t="s">
        <v>324</v>
      </c>
      <c r="B152" s="149" t="s">
        <v>328</v>
      </c>
      <c r="C152" s="149" t="s">
        <v>329</v>
      </c>
    </row>
    <row r="153" spans="1:3">
      <c r="A153" s="149" t="s">
        <v>324</v>
      </c>
      <c r="B153" s="149" t="s">
        <v>309</v>
      </c>
      <c r="C153" s="149" t="s">
        <v>330</v>
      </c>
    </row>
    <row r="154" spans="1:3">
      <c r="A154" s="149" t="s">
        <v>324</v>
      </c>
      <c r="B154" s="149" t="s">
        <v>331</v>
      </c>
      <c r="C154" s="149" t="s">
        <v>332</v>
      </c>
    </row>
    <row r="155" spans="1:3">
      <c r="A155" s="149" t="s">
        <v>324</v>
      </c>
      <c r="B155" s="149" t="s">
        <v>333</v>
      </c>
      <c r="C155" s="149" t="s">
        <v>334</v>
      </c>
    </row>
    <row r="156" spans="1:3">
      <c r="A156" s="149" t="s">
        <v>324</v>
      </c>
      <c r="B156" s="149" t="s">
        <v>335</v>
      </c>
      <c r="C156" s="149" t="s">
        <v>336</v>
      </c>
    </row>
    <row r="157" spans="1:3">
      <c r="A157" s="149" t="s">
        <v>324</v>
      </c>
      <c r="B157" s="149" t="s">
        <v>337</v>
      </c>
      <c r="C157" s="149" t="s">
        <v>338</v>
      </c>
    </row>
    <row r="158" spans="1:3">
      <c r="A158" s="149" t="s">
        <v>324</v>
      </c>
      <c r="B158" s="149" t="s">
        <v>339</v>
      </c>
      <c r="C158" s="149" t="s">
        <v>340</v>
      </c>
    </row>
    <row r="159" spans="1:3">
      <c r="A159" s="149" t="s">
        <v>324</v>
      </c>
      <c r="B159" s="149" t="s">
        <v>148</v>
      </c>
      <c r="C159" s="149" t="s">
        <v>341</v>
      </c>
    </row>
    <row r="160" spans="1:3">
      <c r="A160" s="149" t="s">
        <v>324</v>
      </c>
      <c r="B160" s="149" t="s">
        <v>342</v>
      </c>
      <c r="C160" s="149" t="s">
        <v>343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99"/>
  <sheetViews>
    <sheetView showGridLines="0" workbookViewId="0">
      <pane ySplit="4" topLeftCell="A41" activePane="bottomLeft" state="frozen"/>
      <selection/>
      <selection pane="bottomLeft" activeCell="D61" sqref="D61"/>
    </sheetView>
  </sheetViews>
  <sheetFormatPr defaultColWidth="45.7142857142857" defaultRowHeight="15" outlineLevelCol="4"/>
  <cols>
    <col min="1" max="1" width="39.2857142857143" style="52" customWidth="1"/>
    <col min="2" max="2" width="12.8571428571429" style="52" customWidth="1"/>
    <col min="3" max="3" width="31.8571428571429" style="52" customWidth="1"/>
    <col min="4" max="4" width="45.7142857142857" style="52" customWidth="1"/>
    <col min="5" max="5" width="99.2857142857143" style="52" customWidth="1"/>
    <col min="6" max="16384" width="45.7142857142857" style="52" customWidth="1"/>
  </cols>
  <sheetData>
    <row r="1" s="140" customFormat="1" spans="1:5">
      <c r="A1" s="142" t="s">
        <v>344</v>
      </c>
      <c r="B1" s="142"/>
      <c r="C1" s="142"/>
      <c r="D1" s="142"/>
      <c r="E1" s="142"/>
    </row>
    <row r="2" spans="1:5">
      <c r="A2" s="143" t="s">
        <v>345</v>
      </c>
      <c r="B2" s="144"/>
      <c r="C2" s="144"/>
      <c r="D2" s="144"/>
      <c r="E2" s="144"/>
    </row>
    <row r="3" spans="1:5">
      <c r="A3" s="144"/>
      <c r="B3" s="144"/>
      <c r="C3" s="144"/>
      <c r="D3" s="144"/>
      <c r="E3" s="144"/>
    </row>
    <row r="4" s="140" customFormat="1" spans="1:5">
      <c r="A4" s="142" t="s">
        <v>346</v>
      </c>
      <c r="B4" s="142" t="s">
        <v>347</v>
      </c>
      <c r="C4" s="142" t="s">
        <v>348</v>
      </c>
      <c r="D4" s="142" t="s">
        <v>349</v>
      </c>
      <c r="E4" s="142" t="s">
        <v>195</v>
      </c>
    </row>
    <row r="5" s="140" customFormat="1" spans="1:5">
      <c r="A5" s="142" t="s">
        <v>350</v>
      </c>
      <c r="B5" s="142"/>
      <c r="C5" s="142"/>
      <c r="D5" s="142"/>
      <c r="E5" s="142"/>
    </row>
    <row r="6" spans="1:5">
      <c r="A6" s="144" t="s">
        <v>351</v>
      </c>
      <c r="B6" s="144" t="s">
        <v>352</v>
      </c>
      <c r="C6" s="144" t="s">
        <v>353</v>
      </c>
      <c r="D6" s="144" t="s">
        <v>354</v>
      </c>
      <c r="E6" s="144" t="s">
        <v>355</v>
      </c>
    </row>
    <row r="7" spans="1:5">
      <c r="A7" s="144" t="s">
        <v>356</v>
      </c>
      <c r="B7" s="144" t="s">
        <v>357</v>
      </c>
      <c r="C7" s="144" t="s">
        <v>358</v>
      </c>
      <c r="D7" s="144" t="s">
        <v>354</v>
      </c>
      <c r="E7" s="144" t="s">
        <v>359</v>
      </c>
    </row>
    <row r="8" ht="30" spans="1:5">
      <c r="A8" s="144" t="s">
        <v>360</v>
      </c>
      <c r="B8" s="144" t="s">
        <v>361</v>
      </c>
      <c r="C8" s="144" t="s">
        <v>358</v>
      </c>
      <c r="D8" s="144" t="s">
        <v>354</v>
      </c>
      <c r="E8" s="144" t="s">
        <v>362</v>
      </c>
    </row>
    <row r="9" ht="30" spans="1:5">
      <c r="A9" s="144" t="s">
        <v>363</v>
      </c>
      <c r="B9" s="144" t="s">
        <v>364</v>
      </c>
      <c r="C9" s="144" t="s">
        <v>358</v>
      </c>
      <c r="D9" s="144" t="s">
        <v>354</v>
      </c>
      <c r="E9" s="144" t="s">
        <v>365</v>
      </c>
    </row>
    <row r="10" ht="30" spans="1:5">
      <c r="A10" s="144" t="s">
        <v>366</v>
      </c>
      <c r="B10" s="144" t="s">
        <v>367</v>
      </c>
      <c r="C10" s="144" t="s">
        <v>368</v>
      </c>
      <c r="D10" s="144" t="s">
        <v>369</v>
      </c>
      <c r="E10" s="144" t="s">
        <v>370</v>
      </c>
    </row>
    <row r="11" ht="30" spans="1:5">
      <c r="A11" s="144" t="s">
        <v>371</v>
      </c>
      <c r="B11" s="144" t="s">
        <v>372</v>
      </c>
      <c r="C11" s="144" t="s">
        <v>368</v>
      </c>
      <c r="D11" s="144" t="s">
        <v>373</v>
      </c>
      <c r="E11" s="144" t="s">
        <v>374</v>
      </c>
    </row>
    <row r="12" ht="30" spans="1:5">
      <c r="A12" s="144" t="s">
        <v>375</v>
      </c>
      <c r="B12" s="144" t="s">
        <v>376</v>
      </c>
      <c r="C12" s="144" t="s">
        <v>377</v>
      </c>
      <c r="D12" s="144" t="s">
        <v>378</v>
      </c>
      <c r="E12" s="144" t="s">
        <v>379</v>
      </c>
    </row>
    <row r="13" ht="30" spans="1:5">
      <c r="A13" s="144" t="s">
        <v>380</v>
      </c>
      <c r="B13" s="144" t="s">
        <v>354</v>
      </c>
      <c r="C13" s="144" t="s">
        <v>358</v>
      </c>
      <c r="D13" s="144" t="s">
        <v>354</v>
      </c>
      <c r="E13" s="144" t="s">
        <v>381</v>
      </c>
    </row>
    <row r="14" ht="30" spans="1:5">
      <c r="A14" s="144" t="s">
        <v>382</v>
      </c>
      <c r="B14" s="144" t="s">
        <v>354</v>
      </c>
      <c r="C14" s="144" t="s">
        <v>377</v>
      </c>
      <c r="D14" s="144" t="s">
        <v>383</v>
      </c>
      <c r="E14" s="144" t="s">
        <v>384</v>
      </c>
    </row>
    <row r="15" s="140" customFormat="1" spans="1:5">
      <c r="A15" s="142" t="s">
        <v>385</v>
      </c>
      <c r="B15" s="142"/>
      <c r="C15" s="142"/>
      <c r="D15" s="142"/>
      <c r="E15" s="142"/>
    </row>
    <row r="16" spans="1:5">
      <c r="A16" s="144" t="s">
        <v>386</v>
      </c>
      <c r="B16" s="144" t="s">
        <v>387</v>
      </c>
      <c r="C16" s="144" t="s">
        <v>368</v>
      </c>
      <c r="D16" s="144" t="s">
        <v>388</v>
      </c>
      <c r="E16" s="144" t="s">
        <v>389</v>
      </c>
    </row>
    <row r="17" spans="1:5">
      <c r="A17" s="144" t="s">
        <v>390</v>
      </c>
      <c r="B17" s="144" t="s">
        <v>391</v>
      </c>
      <c r="C17" s="144" t="s">
        <v>368</v>
      </c>
      <c r="D17" s="144" t="s">
        <v>392</v>
      </c>
      <c r="E17" s="144" t="s">
        <v>393</v>
      </c>
    </row>
    <row r="18" ht="30" spans="1:5">
      <c r="A18" s="144" t="s">
        <v>394</v>
      </c>
      <c r="B18" s="144" t="s">
        <v>395</v>
      </c>
      <c r="C18" s="144" t="s">
        <v>368</v>
      </c>
      <c r="D18" s="144" t="s">
        <v>396</v>
      </c>
      <c r="E18" s="144" t="s">
        <v>397</v>
      </c>
    </row>
    <row r="19" ht="30" spans="1:5">
      <c r="A19" s="144" t="s">
        <v>398</v>
      </c>
      <c r="B19" s="144" t="s">
        <v>399</v>
      </c>
      <c r="C19" s="144" t="s">
        <v>368</v>
      </c>
      <c r="D19" s="144" t="s">
        <v>400</v>
      </c>
      <c r="E19" s="144" t="s">
        <v>401</v>
      </c>
    </row>
    <row r="20" ht="30" spans="1:5">
      <c r="A20" s="144" t="s">
        <v>402</v>
      </c>
      <c r="B20" s="144" t="s">
        <v>403</v>
      </c>
      <c r="C20" s="144" t="s">
        <v>368</v>
      </c>
      <c r="D20" s="144" t="s">
        <v>404</v>
      </c>
      <c r="E20" s="144" t="s">
        <v>405</v>
      </c>
    </row>
    <row r="21" s="140" customFormat="1" spans="1:5">
      <c r="A21" s="142" t="s">
        <v>406</v>
      </c>
      <c r="B21" s="142"/>
      <c r="C21" s="142"/>
      <c r="D21" s="142"/>
      <c r="E21" s="142"/>
    </row>
    <row r="22" ht="30" spans="1:5">
      <c r="A22" s="144" t="s">
        <v>407</v>
      </c>
      <c r="B22" s="144" t="s">
        <v>408</v>
      </c>
      <c r="C22" s="144" t="s">
        <v>368</v>
      </c>
      <c r="D22" s="144" t="s">
        <v>409</v>
      </c>
      <c r="E22" s="144" t="s">
        <v>410</v>
      </c>
    </row>
    <row r="23" ht="30" spans="1:5">
      <c r="A23" s="144" t="s">
        <v>411</v>
      </c>
      <c r="B23" s="144" t="s">
        <v>412</v>
      </c>
      <c r="C23" s="144" t="s">
        <v>377</v>
      </c>
      <c r="D23" s="144" t="s">
        <v>413</v>
      </c>
      <c r="E23" s="144" t="s">
        <v>414</v>
      </c>
    </row>
    <row r="24" ht="30" spans="1:5">
      <c r="A24" s="144" t="s">
        <v>415</v>
      </c>
      <c r="B24" s="144" t="s">
        <v>416</v>
      </c>
      <c r="C24" s="144" t="s">
        <v>368</v>
      </c>
      <c r="D24" s="144" t="s">
        <v>417</v>
      </c>
      <c r="E24" s="144" t="s">
        <v>418</v>
      </c>
    </row>
    <row r="25" ht="30" spans="1:5">
      <c r="A25" s="144" t="s">
        <v>419</v>
      </c>
      <c r="B25" s="144" t="s">
        <v>420</v>
      </c>
      <c r="C25" s="144" t="s">
        <v>368</v>
      </c>
      <c r="D25" s="144" t="s">
        <v>421</v>
      </c>
      <c r="E25" s="144" t="s">
        <v>422</v>
      </c>
    </row>
    <row r="26" ht="45" spans="1:5">
      <c r="A26" s="144" t="s">
        <v>423</v>
      </c>
      <c r="B26" s="144" t="s">
        <v>424</v>
      </c>
      <c r="C26" s="144" t="s">
        <v>377</v>
      </c>
      <c r="D26" s="144" t="s">
        <v>425</v>
      </c>
      <c r="E26" s="144" t="s">
        <v>426</v>
      </c>
    </row>
    <row r="27" ht="30" spans="1:5">
      <c r="A27" s="144" t="s">
        <v>427</v>
      </c>
      <c r="B27" s="144" t="s">
        <v>428</v>
      </c>
      <c r="C27" s="144" t="s">
        <v>368</v>
      </c>
      <c r="D27" s="144" t="s">
        <v>429</v>
      </c>
      <c r="E27" s="144" t="s">
        <v>430</v>
      </c>
    </row>
    <row r="28" ht="30" spans="1:5">
      <c r="A28" s="144" t="s">
        <v>431</v>
      </c>
      <c r="B28" s="144" t="s">
        <v>432</v>
      </c>
      <c r="C28" s="144" t="s">
        <v>377</v>
      </c>
      <c r="D28" s="144" t="s">
        <v>433</v>
      </c>
      <c r="E28" s="144" t="s">
        <v>434</v>
      </c>
    </row>
    <row r="29" ht="30" spans="1:5">
      <c r="A29" s="144" t="s">
        <v>435</v>
      </c>
      <c r="B29" s="144" t="s">
        <v>436</v>
      </c>
      <c r="C29" s="144" t="s">
        <v>437</v>
      </c>
      <c r="D29" s="144" t="s">
        <v>438</v>
      </c>
      <c r="E29" s="144" t="s">
        <v>439</v>
      </c>
    </row>
    <row r="30" ht="30" spans="1:5">
      <c r="A30" s="144" t="s">
        <v>440</v>
      </c>
      <c r="B30" s="144" t="s">
        <v>441</v>
      </c>
      <c r="C30" s="144" t="s">
        <v>442</v>
      </c>
      <c r="D30" s="144" t="s">
        <v>443</v>
      </c>
      <c r="E30" s="144" t="s">
        <v>444</v>
      </c>
    </row>
    <row r="31" s="141" customFormat="1" spans="1:5">
      <c r="A31" s="145" t="s">
        <v>445</v>
      </c>
      <c r="B31" s="145"/>
      <c r="C31" s="145"/>
      <c r="D31" s="145"/>
      <c r="E31" s="145"/>
    </row>
    <row r="32" ht="30" spans="1:5">
      <c r="A32" s="144" t="s">
        <v>446</v>
      </c>
      <c r="B32" s="144" t="s">
        <v>447</v>
      </c>
      <c r="C32" s="144" t="s">
        <v>448</v>
      </c>
      <c r="D32" s="144" t="s">
        <v>449</v>
      </c>
      <c r="E32" s="144" t="s">
        <v>450</v>
      </c>
    </row>
    <row r="33" ht="30" spans="1:5">
      <c r="A33" s="144" t="s">
        <v>451</v>
      </c>
      <c r="B33" s="144" t="s">
        <v>452</v>
      </c>
      <c r="C33" s="144" t="s">
        <v>448</v>
      </c>
      <c r="D33" s="144" t="s">
        <v>453</v>
      </c>
      <c r="E33" s="144" t="s">
        <v>454</v>
      </c>
    </row>
    <row r="34" spans="1:5">
      <c r="A34" s="144" t="s">
        <v>455</v>
      </c>
      <c r="B34" s="144" t="s">
        <v>456</v>
      </c>
      <c r="C34" s="144" t="s">
        <v>448</v>
      </c>
      <c r="D34" s="144" t="s">
        <v>457</v>
      </c>
      <c r="E34" s="144" t="s">
        <v>458</v>
      </c>
    </row>
    <row r="35" ht="30" spans="1:5">
      <c r="A35" s="144" t="s">
        <v>459</v>
      </c>
      <c r="B35" s="144" t="s">
        <v>460</v>
      </c>
      <c r="C35" s="144" t="s">
        <v>448</v>
      </c>
      <c r="D35" s="144" t="s">
        <v>461</v>
      </c>
      <c r="E35" s="144" t="s">
        <v>462</v>
      </c>
    </row>
    <row r="36" ht="30" spans="1:5">
      <c r="A36" s="144" t="s">
        <v>463</v>
      </c>
      <c r="B36" s="144" t="s">
        <v>464</v>
      </c>
      <c r="C36" s="144" t="s">
        <v>448</v>
      </c>
      <c r="D36" s="144" t="s">
        <v>465</v>
      </c>
      <c r="E36" s="144" t="s">
        <v>466</v>
      </c>
    </row>
    <row r="37" spans="1:5">
      <c r="A37" s="144" t="s">
        <v>467</v>
      </c>
      <c r="B37" s="144" t="s">
        <v>468</v>
      </c>
      <c r="C37" s="144" t="s">
        <v>448</v>
      </c>
      <c r="D37" s="144" t="s">
        <v>469</v>
      </c>
      <c r="E37" s="144" t="s">
        <v>470</v>
      </c>
    </row>
    <row r="38" ht="30" spans="1:5">
      <c r="A38" s="144" t="s">
        <v>109</v>
      </c>
      <c r="B38" s="144" t="s">
        <v>471</v>
      </c>
      <c r="C38" s="144" t="s">
        <v>448</v>
      </c>
      <c r="D38" s="144" t="s">
        <v>472</v>
      </c>
      <c r="E38" s="144" t="s">
        <v>473</v>
      </c>
    </row>
    <row r="39" spans="1:5">
      <c r="A39" s="144" t="s">
        <v>474</v>
      </c>
      <c r="B39" s="144" t="s">
        <v>475</v>
      </c>
      <c r="C39" s="144" t="s">
        <v>377</v>
      </c>
      <c r="D39" s="144" t="s">
        <v>476</v>
      </c>
      <c r="E39" s="144" t="s">
        <v>477</v>
      </c>
    </row>
    <row r="40" ht="30" spans="1:5">
      <c r="A40" s="144" t="s">
        <v>478</v>
      </c>
      <c r="B40" s="144" t="s">
        <v>479</v>
      </c>
      <c r="C40" s="144" t="s">
        <v>377</v>
      </c>
      <c r="D40" s="144" t="s">
        <v>480</v>
      </c>
      <c r="E40" s="144" t="s">
        <v>481</v>
      </c>
    </row>
    <row r="41" ht="60" spans="1:5">
      <c r="A41" s="144" t="s">
        <v>482</v>
      </c>
      <c r="B41" s="144" t="s">
        <v>483</v>
      </c>
      <c r="C41" s="144" t="s">
        <v>377</v>
      </c>
      <c r="D41" s="144" t="s">
        <v>484</v>
      </c>
      <c r="E41" s="144" t="s">
        <v>485</v>
      </c>
    </row>
    <row r="42" spans="1:5">
      <c r="A42" s="144" t="s">
        <v>486</v>
      </c>
      <c r="B42" s="144" t="s">
        <v>487</v>
      </c>
      <c r="C42" s="144" t="s">
        <v>377</v>
      </c>
      <c r="D42" s="144" t="s">
        <v>488</v>
      </c>
      <c r="E42" s="144" t="s">
        <v>489</v>
      </c>
    </row>
    <row r="43" ht="30" spans="1:5">
      <c r="A43" s="144" t="s">
        <v>490</v>
      </c>
      <c r="B43" s="144" t="s">
        <v>491</v>
      </c>
      <c r="C43" s="144" t="s">
        <v>377</v>
      </c>
      <c r="D43" s="144" t="s">
        <v>492</v>
      </c>
      <c r="E43" s="144" t="s">
        <v>493</v>
      </c>
    </row>
    <row r="44" ht="30" spans="1:5">
      <c r="A44" s="144" t="s">
        <v>494</v>
      </c>
      <c r="B44" s="144" t="s">
        <v>495</v>
      </c>
      <c r="C44" s="144" t="s">
        <v>377</v>
      </c>
      <c r="D44" s="144" t="s">
        <v>496</v>
      </c>
      <c r="E44" s="144" t="s">
        <v>497</v>
      </c>
    </row>
    <row r="45" ht="30" spans="1:5">
      <c r="A45" s="144" t="s">
        <v>498</v>
      </c>
      <c r="B45" s="144" t="s">
        <v>499</v>
      </c>
      <c r="C45" s="144" t="s">
        <v>377</v>
      </c>
      <c r="D45" s="144" t="s">
        <v>500</v>
      </c>
      <c r="E45" s="144" t="s">
        <v>501</v>
      </c>
    </row>
    <row r="46" spans="1:5">
      <c r="A46" s="144" t="s">
        <v>502</v>
      </c>
      <c r="B46" s="144" t="s">
        <v>503</v>
      </c>
      <c r="C46" s="144" t="s">
        <v>504</v>
      </c>
      <c r="D46" s="144" t="s">
        <v>505</v>
      </c>
      <c r="E46" s="144" t="s">
        <v>506</v>
      </c>
    </row>
    <row r="47" ht="30" spans="1:5">
      <c r="A47" s="144" t="s">
        <v>507</v>
      </c>
      <c r="B47" s="144" t="s">
        <v>508</v>
      </c>
      <c r="C47" s="144" t="s">
        <v>448</v>
      </c>
      <c r="D47" s="144" t="s">
        <v>509</v>
      </c>
      <c r="E47" s="144" t="s">
        <v>510</v>
      </c>
    </row>
    <row r="48" ht="30" spans="1:5">
      <c r="A48" s="144" t="s">
        <v>511</v>
      </c>
      <c r="B48" s="144" t="s">
        <v>512</v>
      </c>
      <c r="C48" s="144" t="s">
        <v>447</v>
      </c>
      <c r="D48" s="144" t="s">
        <v>513</v>
      </c>
      <c r="E48" s="144" t="s">
        <v>514</v>
      </c>
    </row>
    <row r="49" spans="1:5">
      <c r="A49" s="144" t="s">
        <v>515</v>
      </c>
      <c r="B49" s="144" t="s">
        <v>516</v>
      </c>
      <c r="C49" s="144" t="s">
        <v>452</v>
      </c>
      <c r="D49" s="144" t="s">
        <v>517</v>
      </c>
      <c r="E49" s="144" t="s">
        <v>518</v>
      </c>
    </row>
    <row r="50" ht="30" spans="1:5">
      <c r="A50" s="144" t="s">
        <v>519</v>
      </c>
      <c r="B50" s="144" t="s">
        <v>520</v>
      </c>
      <c r="C50" s="144" t="s">
        <v>447</v>
      </c>
      <c r="D50" s="144" t="s">
        <v>521</v>
      </c>
      <c r="E50" s="144" t="s">
        <v>522</v>
      </c>
    </row>
    <row r="51" ht="30" spans="1:5">
      <c r="A51" s="144" t="s">
        <v>523</v>
      </c>
      <c r="B51" s="144" t="s">
        <v>524</v>
      </c>
      <c r="C51" s="144" t="s">
        <v>448</v>
      </c>
      <c r="D51" s="144" t="s">
        <v>525</v>
      </c>
      <c r="E51" s="144" t="s">
        <v>526</v>
      </c>
    </row>
    <row r="52" ht="30" spans="1:5">
      <c r="A52" s="144" t="s">
        <v>527</v>
      </c>
      <c r="B52" s="144" t="s">
        <v>528</v>
      </c>
      <c r="C52" s="144" t="s">
        <v>529</v>
      </c>
      <c r="D52" s="144" t="s">
        <v>530</v>
      </c>
      <c r="E52" s="144" t="s">
        <v>531</v>
      </c>
    </row>
    <row r="53" ht="30" spans="1:5">
      <c r="A53" s="144" t="s">
        <v>532</v>
      </c>
      <c r="B53" s="144" t="s">
        <v>533</v>
      </c>
      <c r="C53" s="144" t="s">
        <v>529</v>
      </c>
      <c r="D53" s="144" t="s">
        <v>534</v>
      </c>
      <c r="E53" s="144" t="s">
        <v>535</v>
      </c>
    </row>
    <row r="54" s="140" customFormat="1" spans="1:5">
      <c r="A54" s="142" t="s">
        <v>536</v>
      </c>
      <c r="B54" s="142"/>
      <c r="C54" s="142"/>
      <c r="D54" s="142"/>
      <c r="E54" s="142"/>
    </row>
    <row r="55" spans="1:5">
      <c r="A55" s="144" t="s">
        <v>537</v>
      </c>
      <c r="B55" s="144" t="s">
        <v>538</v>
      </c>
      <c r="C55" s="144" t="s">
        <v>539</v>
      </c>
      <c r="D55" s="144" t="s">
        <v>540</v>
      </c>
      <c r="E55" s="144" t="s">
        <v>541</v>
      </c>
    </row>
    <row r="56" ht="30" spans="1:5">
      <c r="A56" s="144" t="s">
        <v>542</v>
      </c>
      <c r="B56" s="144" t="s">
        <v>543</v>
      </c>
      <c r="C56" s="144" t="s">
        <v>544</v>
      </c>
      <c r="D56" s="144" t="s">
        <v>545</v>
      </c>
      <c r="E56" s="144" t="s">
        <v>546</v>
      </c>
    </row>
    <row r="57" spans="1:5">
      <c r="A57" s="144" t="s">
        <v>547</v>
      </c>
      <c r="B57" s="144" t="s">
        <v>548</v>
      </c>
      <c r="C57" s="144" t="s">
        <v>544</v>
      </c>
      <c r="D57" s="144" t="s">
        <v>549</v>
      </c>
      <c r="E57" s="144" t="s">
        <v>550</v>
      </c>
    </row>
    <row r="58" ht="30" spans="1:5">
      <c r="A58" s="144" t="s">
        <v>551</v>
      </c>
      <c r="B58" s="144" t="s">
        <v>552</v>
      </c>
      <c r="C58" s="144" t="s">
        <v>544</v>
      </c>
      <c r="D58" s="144" t="s">
        <v>553</v>
      </c>
      <c r="E58" s="144" t="s">
        <v>554</v>
      </c>
    </row>
    <row r="59" ht="30" spans="1:5">
      <c r="A59" s="144" t="s">
        <v>555</v>
      </c>
      <c r="B59" s="144" t="s">
        <v>556</v>
      </c>
      <c r="C59" s="144" t="s">
        <v>557</v>
      </c>
      <c r="D59" s="144" t="s">
        <v>558</v>
      </c>
      <c r="E59" s="144" t="s">
        <v>559</v>
      </c>
    </row>
    <row r="60" ht="30" spans="1:5">
      <c r="A60" s="144" t="s">
        <v>560</v>
      </c>
      <c r="B60" s="144" t="s">
        <v>561</v>
      </c>
      <c r="C60" s="144" t="s">
        <v>377</v>
      </c>
      <c r="D60" s="144" t="s">
        <v>562</v>
      </c>
      <c r="E60" s="144" t="s">
        <v>563</v>
      </c>
    </row>
    <row r="61" ht="30" spans="1:5">
      <c r="A61" s="144" t="s">
        <v>564</v>
      </c>
      <c r="B61" s="144" t="s">
        <v>565</v>
      </c>
      <c r="C61" s="144" t="s">
        <v>377</v>
      </c>
      <c r="D61" s="144" t="s">
        <v>566</v>
      </c>
      <c r="E61" s="144" t="s">
        <v>567</v>
      </c>
    </row>
    <row r="62" ht="30" spans="1:5">
      <c r="A62" s="144" t="s">
        <v>568</v>
      </c>
      <c r="B62" s="144" t="s">
        <v>569</v>
      </c>
      <c r="C62" s="144" t="s">
        <v>377</v>
      </c>
      <c r="D62" s="144" t="s">
        <v>570</v>
      </c>
      <c r="E62" s="144" t="s">
        <v>571</v>
      </c>
    </row>
    <row r="63" ht="30" spans="1:5">
      <c r="A63" s="144" t="s">
        <v>572</v>
      </c>
      <c r="B63" s="144" t="s">
        <v>573</v>
      </c>
      <c r="C63" s="144" t="s">
        <v>448</v>
      </c>
      <c r="D63" s="144" t="s">
        <v>354</v>
      </c>
      <c r="E63" s="144" t="s">
        <v>574</v>
      </c>
    </row>
    <row r="64" ht="30" spans="1:5">
      <c r="A64" s="144" t="s">
        <v>575</v>
      </c>
      <c r="B64" s="144" t="s">
        <v>576</v>
      </c>
      <c r="C64" s="144" t="s">
        <v>544</v>
      </c>
      <c r="D64" s="144" t="s">
        <v>577</v>
      </c>
      <c r="E64" s="144" t="s">
        <v>578</v>
      </c>
    </row>
    <row r="65" ht="45" spans="1:5">
      <c r="A65" s="144" t="s">
        <v>579</v>
      </c>
      <c r="B65" s="144" t="s">
        <v>580</v>
      </c>
      <c r="C65" s="144" t="s">
        <v>447</v>
      </c>
      <c r="D65" s="144" t="s">
        <v>581</v>
      </c>
      <c r="E65" s="144" t="s">
        <v>582</v>
      </c>
    </row>
    <row r="66" ht="30" spans="1:5">
      <c r="A66" s="144" t="s">
        <v>583</v>
      </c>
      <c r="B66" s="144" t="s">
        <v>584</v>
      </c>
      <c r="C66" s="144" t="s">
        <v>447</v>
      </c>
      <c r="D66" s="144" t="s">
        <v>585</v>
      </c>
      <c r="E66" s="144" t="s">
        <v>586</v>
      </c>
    </row>
    <row r="67" ht="30" spans="1:5">
      <c r="A67" s="144" t="s">
        <v>587</v>
      </c>
      <c r="B67" s="144" t="s">
        <v>588</v>
      </c>
      <c r="C67" s="144" t="s">
        <v>447</v>
      </c>
      <c r="D67" s="144" t="s">
        <v>589</v>
      </c>
      <c r="E67" s="144" t="s">
        <v>590</v>
      </c>
    </row>
    <row r="68" s="140" customFormat="1" spans="1:5">
      <c r="A68" s="142" t="s">
        <v>591</v>
      </c>
      <c r="B68" s="142"/>
      <c r="C68" s="142"/>
      <c r="D68" s="142"/>
      <c r="E68" s="142"/>
    </row>
    <row r="69" ht="30" spans="1:5">
      <c r="A69" s="144" t="s">
        <v>592</v>
      </c>
      <c r="B69" s="144" t="s">
        <v>593</v>
      </c>
      <c r="C69" s="144" t="s">
        <v>594</v>
      </c>
      <c r="D69" s="144" t="s">
        <v>354</v>
      </c>
      <c r="E69" s="144" t="s">
        <v>595</v>
      </c>
    </row>
    <row r="70" spans="1:5">
      <c r="A70" s="144" t="s">
        <v>596</v>
      </c>
      <c r="B70" s="144" t="s">
        <v>597</v>
      </c>
      <c r="C70" s="144" t="s">
        <v>598</v>
      </c>
      <c r="D70" s="144" t="s">
        <v>354</v>
      </c>
      <c r="E70" s="144" t="s">
        <v>599</v>
      </c>
    </row>
    <row r="71" ht="30" spans="1:5">
      <c r="A71" s="144" t="s">
        <v>600</v>
      </c>
      <c r="B71" s="144" t="s">
        <v>601</v>
      </c>
      <c r="C71" s="144" t="s">
        <v>602</v>
      </c>
      <c r="D71" s="144" t="s">
        <v>354</v>
      </c>
      <c r="E71" s="144" t="s">
        <v>603</v>
      </c>
    </row>
    <row r="72" ht="30" spans="1:5">
      <c r="A72" s="144" t="s">
        <v>181</v>
      </c>
      <c r="B72" s="144" t="s">
        <v>604</v>
      </c>
      <c r="C72" s="144" t="s">
        <v>594</v>
      </c>
      <c r="D72" s="144" t="s">
        <v>605</v>
      </c>
      <c r="E72" s="144" t="s">
        <v>606</v>
      </c>
    </row>
    <row r="73" spans="1:5">
      <c r="A73" s="144" t="s">
        <v>607</v>
      </c>
      <c r="B73" s="144" t="s">
        <v>608</v>
      </c>
      <c r="C73" s="144" t="s">
        <v>594</v>
      </c>
      <c r="D73" s="144" t="s">
        <v>354</v>
      </c>
      <c r="E73" s="144" t="s">
        <v>609</v>
      </c>
    </row>
    <row r="74" ht="30" spans="1:5">
      <c r="A74" s="144" t="s">
        <v>610</v>
      </c>
      <c r="B74" s="144" t="s">
        <v>611</v>
      </c>
      <c r="C74" s="144" t="s">
        <v>594</v>
      </c>
      <c r="D74" s="144" t="s">
        <v>612</v>
      </c>
      <c r="E74" s="144" t="s">
        <v>613</v>
      </c>
    </row>
    <row r="75" spans="1:5">
      <c r="A75" s="144" t="s">
        <v>151</v>
      </c>
      <c r="B75" s="144" t="s">
        <v>354</v>
      </c>
      <c r="C75" s="144" t="s">
        <v>354</v>
      </c>
      <c r="D75" s="144" t="s">
        <v>354</v>
      </c>
      <c r="E75" s="144" t="s">
        <v>614</v>
      </c>
    </row>
    <row r="76" ht="30" spans="1:5">
      <c r="A76" s="144" t="s">
        <v>231</v>
      </c>
      <c r="B76" s="144" t="s">
        <v>354</v>
      </c>
      <c r="C76" s="144" t="s">
        <v>354</v>
      </c>
      <c r="D76" s="144" t="s">
        <v>354</v>
      </c>
      <c r="E76" s="144" t="s">
        <v>615</v>
      </c>
    </row>
    <row r="77" ht="30" spans="1:5">
      <c r="A77" s="144" t="s">
        <v>616</v>
      </c>
      <c r="B77" s="144" t="s">
        <v>354</v>
      </c>
      <c r="C77" s="144" t="s">
        <v>354</v>
      </c>
      <c r="D77" s="144" t="s">
        <v>354</v>
      </c>
      <c r="E77" s="144" t="s">
        <v>617</v>
      </c>
    </row>
    <row r="78" ht="30" spans="1:5">
      <c r="A78" s="144" t="s">
        <v>618</v>
      </c>
      <c r="B78" s="144" t="s">
        <v>354</v>
      </c>
      <c r="C78" s="144" t="s">
        <v>354</v>
      </c>
      <c r="D78" s="144" t="s">
        <v>354</v>
      </c>
      <c r="E78" s="144" t="s">
        <v>619</v>
      </c>
    </row>
    <row r="79" ht="30" spans="1:5">
      <c r="A79" s="144" t="s">
        <v>620</v>
      </c>
      <c r="B79" s="144" t="s">
        <v>354</v>
      </c>
      <c r="C79" s="144" t="s">
        <v>354</v>
      </c>
      <c r="D79" s="144" t="s">
        <v>354</v>
      </c>
      <c r="E79" s="144" t="s">
        <v>621</v>
      </c>
    </row>
    <row r="80" ht="30" spans="1:5">
      <c r="A80" s="144" t="s">
        <v>194</v>
      </c>
      <c r="B80" s="144" t="s">
        <v>354</v>
      </c>
      <c r="C80" s="144" t="s">
        <v>358</v>
      </c>
      <c r="D80" s="144" t="s">
        <v>354</v>
      </c>
      <c r="E80" s="144" t="s">
        <v>622</v>
      </c>
    </row>
    <row r="81" ht="30" spans="1:5">
      <c r="A81" s="144" t="s">
        <v>203</v>
      </c>
      <c r="B81" s="144" t="s">
        <v>354</v>
      </c>
      <c r="C81" s="144" t="s">
        <v>358</v>
      </c>
      <c r="D81" s="144" t="s">
        <v>354</v>
      </c>
      <c r="E81" s="144" t="s">
        <v>623</v>
      </c>
    </row>
    <row r="82" s="140" customFormat="1" spans="1:5">
      <c r="A82" s="142" t="s">
        <v>624</v>
      </c>
      <c r="B82" s="142"/>
      <c r="C82" s="142"/>
      <c r="D82" s="142"/>
      <c r="E82" s="142"/>
    </row>
    <row r="83" ht="30" spans="1:5">
      <c r="A83" s="144" t="s">
        <v>625</v>
      </c>
      <c r="B83" s="144" t="s">
        <v>626</v>
      </c>
      <c r="C83" s="144" t="s">
        <v>358</v>
      </c>
      <c r="D83" s="144" t="s">
        <v>354</v>
      </c>
      <c r="E83" s="144" t="s">
        <v>627</v>
      </c>
    </row>
    <row r="84" ht="30" spans="1:5">
      <c r="A84" s="144" t="s">
        <v>628</v>
      </c>
      <c r="B84" s="144" t="s">
        <v>629</v>
      </c>
      <c r="C84" s="144" t="s">
        <v>377</v>
      </c>
      <c r="D84" s="144" t="s">
        <v>354</v>
      </c>
      <c r="E84" s="144" t="s">
        <v>630</v>
      </c>
    </row>
    <row r="85" spans="1:5">
      <c r="A85" s="144" t="s">
        <v>631</v>
      </c>
      <c r="B85" s="144" t="s">
        <v>354</v>
      </c>
      <c r="C85" s="144" t="s">
        <v>354</v>
      </c>
      <c r="D85" s="144" t="s">
        <v>354</v>
      </c>
      <c r="E85" s="144" t="s">
        <v>632</v>
      </c>
    </row>
    <row r="86" ht="30" spans="1:5">
      <c r="A86" s="144" t="s">
        <v>633</v>
      </c>
      <c r="B86" s="144" t="s">
        <v>354</v>
      </c>
      <c r="C86" s="144" t="s">
        <v>354</v>
      </c>
      <c r="D86" s="144" t="s">
        <v>354</v>
      </c>
      <c r="E86" s="144" t="s">
        <v>634</v>
      </c>
    </row>
    <row r="87" spans="1:5">
      <c r="A87" s="144" t="s">
        <v>635</v>
      </c>
      <c r="B87" s="144" t="s">
        <v>354</v>
      </c>
      <c r="C87" s="144" t="s">
        <v>354</v>
      </c>
      <c r="D87" s="144" t="s">
        <v>354</v>
      </c>
      <c r="E87" s="144" t="s">
        <v>636</v>
      </c>
    </row>
    <row r="88" ht="30" spans="1:5">
      <c r="A88" s="144" t="s">
        <v>637</v>
      </c>
      <c r="B88" s="144" t="s">
        <v>354</v>
      </c>
      <c r="C88" s="144" t="s">
        <v>354</v>
      </c>
      <c r="D88" s="144" t="s">
        <v>354</v>
      </c>
      <c r="E88" s="144" t="s">
        <v>638</v>
      </c>
    </row>
    <row r="89" spans="1:5">
      <c r="A89" s="144" t="s">
        <v>639</v>
      </c>
      <c r="B89" s="144" t="s">
        <v>354</v>
      </c>
      <c r="C89" s="144" t="s">
        <v>354</v>
      </c>
      <c r="D89" s="144" t="s">
        <v>354</v>
      </c>
      <c r="E89" s="144" t="s">
        <v>640</v>
      </c>
    </row>
    <row r="90" ht="30" spans="1:5">
      <c r="A90" s="144" t="s">
        <v>641</v>
      </c>
      <c r="B90" s="144" t="s">
        <v>354</v>
      </c>
      <c r="C90" s="144" t="s">
        <v>354</v>
      </c>
      <c r="D90" s="144" t="s">
        <v>354</v>
      </c>
      <c r="E90" s="144" t="s">
        <v>642</v>
      </c>
    </row>
    <row r="91" spans="1:5">
      <c r="A91" s="144" t="s">
        <v>643</v>
      </c>
      <c r="B91" s="144" t="s">
        <v>354</v>
      </c>
      <c r="C91" s="144" t="s">
        <v>354</v>
      </c>
      <c r="D91" s="144" t="s">
        <v>354</v>
      </c>
      <c r="E91" s="144" t="s">
        <v>644</v>
      </c>
    </row>
    <row r="92" spans="1:5">
      <c r="A92" s="144" t="s">
        <v>645</v>
      </c>
      <c r="B92" s="144" t="s">
        <v>354</v>
      </c>
      <c r="C92" s="144" t="s">
        <v>354</v>
      </c>
      <c r="D92" s="144" t="s">
        <v>354</v>
      </c>
      <c r="E92" s="144" t="s">
        <v>646</v>
      </c>
    </row>
    <row r="93" ht="30" spans="1:5">
      <c r="A93" s="144" t="s">
        <v>647</v>
      </c>
      <c r="B93" s="144" t="s">
        <v>354</v>
      </c>
      <c r="C93" s="144" t="s">
        <v>354</v>
      </c>
      <c r="D93" s="144" t="s">
        <v>354</v>
      </c>
      <c r="E93" s="144" t="s">
        <v>648</v>
      </c>
    </row>
    <row r="94" ht="30" spans="1:5">
      <c r="A94" s="144" t="s">
        <v>649</v>
      </c>
      <c r="B94" s="144" t="s">
        <v>354</v>
      </c>
      <c r="C94" s="144" t="s">
        <v>354</v>
      </c>
      <c r="D94" s="144" t="s">
        <v>354</v>
      </c>
      <c r="E94" s="144" t="s">
        <v>650</v>
      </c>
    </row>
    <row r="95" spans="1:5">
      <c r="A95" s="144" t="s">
        <v>651</v>
      </c>
      <c r="B95" s="144" t="s">
        <v>354</v>
      </c>
      <c r="C95" s="144" t="s">
        <v>354</v>
      </c>
      <c r="D95" s="144" t="s">
        <v>354</v>
      </c>
      <c r="E95" s="144" t="s">
        <v>652</v>
      </c>
    </row>
    <row r="96" ht="30" spans="1:5">
      <c r="A96" s="144" t="s">
        <v>653</v>
      </c>
      <c r="B96" s="144" t="s">
        <v>354</v>
      </c>
      <c r="C96" s="144" t="s">
        <v>354</v>
      </c>
      <c r="D96" s="144" t="s">
        <v>354</v>
      </c>
      <c r="E96" s="144" t="s">
        <v>654</v>
      </c>
    </row>
    <row r="97" ht="30" spans="1:5">
      <c r="A97" s="144" t="s">
        <v>655</v>
      </c>
      <c r="B97" s="144" t="s">
        <v>354</v>
      </c>
      <c r="C97" s="144" t="s">
        <v>354</v>
      </c>
      <c r="D97" s="144" t="s">
        <v>354</v>
      </c>
      <c r="E97" s="144" t="s">
        <v>656</v>
      </c>
    </row>
    <row r="98" ht="30" spans="1:5">
      <c r="A98" s="144" t="s">
        <v>244</v>
      </c>
      <c r="B98" s="144" t="s">
        <v>354</v>
      </c>
      <c r="C98" s="144" t="s">
        <v>354</v>
      </c>
      <c r="D98" s="144" t="s">
        <v>354</v>
      </c>
      <c r="E98" s="144" t="s">
        <v>657</v>
      </c>
    </row>
    <row r="99" ht="30" spans="1:5">
      <c r="A99" s="144" t="s">
        <v>658</v>
      </c>
      <c r="B99" s="144" t="s">
        <v>354</v>
      </c>
      <c r="C99" s="144" t="s">
        <v>354</v>
      </c>
      <c r="D99" s="144" t="s">
        <v>354</v>
      </c>
      <c r="E99" s="144" t="s">
        <v>659</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76"/>
  <sheetViews>
    <sheetView topLeftCell="A160" workbookViewId="0">
      <selection activeCell="A177" sqref="A177"/>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34.7142857142857" customWidth="1"/>
    <col min="11" max="11" width="8.85714285714286" customWidth="1"/>
    <col min="12" max="12" width="11.4285714285714" customWidth="1"/>
    <col min="13" max="13" width="11.5714285714286" customWidth="1"/>
    <col min="14" max="14" width="23.7142857142857" style="119" customWidth="1"/>
    <col min="15" max="15" width="17.8571428571429" customWidth="1"/>
    <col min="16" max="16" width="16.1428571428571" customWidth="1"/>
    <col min="17" max="17" width="12.1428571428571" customWidth="1"/>
  </cols>
  <sheetData>
    <row r="1" s="2" customFormat="1" spans="1:18">
      <c r="A1" s="2" t="s">
        <v>660</v>
      </c>
      <c r="B1" s="3" t="s">
        <v>661</v>
      </c>
      <c r="C1" s="3" t="s">
        <v>662</v>
      </c>
      <c r="D1" s="3" t="s">
        <v>663</v>
      </c>
      <c r="E1" s="3" t="s">
        <v>664</v>
      </c>
      <c r="F1" s="2" t="s">
        <v>665</v>
      </c>
      <c r="G1" s="2" t="s">
        <v>666</v>
      </c>
      <c r="H1" s="2" t="s">
        <v>667</v>
      </c>
      <c r="J1" t="s">
        <v>668</v>
      </c>
      <c r="K1" s="91" t="s">
        <v>152</v>
      </c>
      <c r="L1" s="91" t="s">
        <v>669</v>
      </c>
      <c r="M1" s="91" t="s">
        <v>670</v>
      </c>
      <c r="N1" s="93" t="s">
        <v>29</v>
      </c>
      <c r="O1" s="91" t="s">
        <v>351</v>
      </c>
      <c r="P1" t="s">
        <v>349</v>
      </c>
      <c r="Q1" s="88" t="s">
        <v>671</v>
      </c>
      <c r="R1" s="2" t="s">
        <v>672</v>
      </c>
    </row>
    <row r="2" ht="75" spans="1:17">
      <c r="A2" t="s">
        <v>447</v>
      </c>
      <c r="B2" s="91">
        <v>50000</v>
      </c>
      <c r="C2" s="91">
        <v>25000</v>
      </c>
      <c r="D2" s="91">
        <f>C2*G2</f>
        <v>25000</v>
      </c>
      <c r="E2" s="12">
        <f>B2-C2</f>
        <v>25000</v>
      </c>
      <c r="F2" s="91">
        <f>E2*G2</f>
        <v>25000</v>
      </c>
      <c r="G2" s="120">
        <v>1</v>
      </c>
      <c r="H2" s="12">
        <f>G2*B2</f>
        <v>50000</v>
      </c>
      <c r="J2" s="88" t="s">
        <v>673</v>
      </c>
      <c r="K2" s="91">
        <v>100</v>
      </c>
      <c r="L2">
        <v>4106</v>
      </c>
      <c r="M2" s="91">
        <v>3</v>
      </c>
      <c r="N2" s="127" t="s">
        <v>674</v>
      </c>
      <c r="O2" s="128" t="s">
        <v>675</v>
      </c>
      <c r="P2" t="s">
        <v>676</v>
      </c>
      <c r="Q2">
        <f>1000*5*1.16</f>
        <v>5800</v>
      </c>
    </row>
    <row r="3" spans="1:17">
      <c r="A3" t="s">
        <v>452</v>
      </c>
      <c r="B3" s="91">
        <v>41060</v>
      </c>
      <c r="C3" s="91">
        <v>20530</v>
      </c>
      <c r="D3" s="91">
        <f>C3*G3</f>
        <v>4106</v>
      </c>
      <c r="E3" s="12">
        <f>B3-C3</f>
        <v>20530</v>
      </c>
      <c r="F3" s="91">
        <f>E3*G3</f>
        <v>4106</v>
      </c>
      <c r="G3" s="120">
        <v>0.2</v>
      </c>
      <c r="H3" s="12">
        <f>G3*B3</f>
        <v>8212</v>
      </c>
      <c r="L3" s="91"/>
      <c r="O3" t="s">
        <v>677</v>
      </c>
      <c r="P3">
        <v>1</v>
      </c>
      <c r="Q3">
        <v>1</v>
      </c>
    </row>
    <row r="4" ht="75" spans="1:18">
      <c r="A4" t="s">
        <v>455</v>
      </c>
      <c r="B4" s="91">
        <v>2000</v>
      </c>
      <c r="C4" s="91">
        <v>1000</v>
      </c>
      <c r="D4" s="91">
        <f>C4*G4</f>
        <v>10420</v>
      </c>
      <c r="E4" s="12">
        <f>B4-C4</f>
        <v>1000</v>
      </c>
      <c r="F4" s="91">
        <f>E4*G4</f>
        <v>10420</v>
      </c>
      <c r="G4" s="120">
        <v>10.42</v>
      </c>
      <c r="H4" s="12">
        <f>G4*B4</f>
        <v>20840</v>
      </c>
      <c r="J4" s="88" t="s">
        <v>678</v>
      </c>
      <c r="K4" s="91">
        <v>100</v>
      </c>
      <c r="L4">
        <v>4106</v>
      </c>
      <c r="M4" s="91">
        <v>3</v>
      </c>
      <c r="N4" s="127" t="s">
        <v>679</v>
      </c>
      <c r="O4" s="128" t="s">
        <v>675</v>
      </c>
      <c r="P4" t="s">
        <v>680</v>
      </c>
      <c r="Q4">
        <f>1000*5*1.654</f>
        <v>8270</v>
      </c>
      <c r="R4">
        <f>4000</f>
        <v>4000</v>
      </c>
    </row>
    <row r="5" spans="1:17">
      <c r="A5" t="s">
        <v>459</v>
      </c>
      <c r="B5" s="91">
        <v>1000</v>
      </c>
      <c r="C5" s="91">
        <v>500</v>
      </c>
      <c r="D5" s="91">
        <f>C5*G5</f>
        <v>3475</v>
      </c>
      <c r="E5" s="12">
        <f>B5-C5</f>
        <v>500</v>
      </c>
      <c r="F5" s="91">
        <f>E5*G5</f>
        <v>3475</v>
      </c>
      <c r="G5" s="120">
        <v>6.95</v>
      </c>
      <c r="H5" s="12">
        <f>G5*B5</f>
        <v>6950</v>
      </c>
      <c r="J5" t="s">
        <v>681</v>
      </c>
      <c r="N5" s="119" t="s">
        <v>682</v>
      </c>
      <c r="O5" t="s">
        <v>683</v>
      </c>
      <c r="P5" s="129" t="s">
        <v>684</v>
      </c>
      <c r="Q5" s="7">
        <f>5*4%</f>
        <v>0.2</v>
      </c>
    </row>
    <row r="6" spans="1:12">
      <c r="A6" t="s">
        <v>467</v>
      </c>
      <c r="B6" s="91">
        <v>1000</v>
      </c>
      <c r="C6" s="91">
        <v>500</v>
      </c>
      <c r="D6" s="91">
        <f>C6*G6</f>
        <v>7285</v>
      </c>
      <c r="E6" s="12">
        <f>B6-C6</f>
        <v>500</v>
      </c>
      <c r="F6" s="91">
        <f>E6*G6</f>
        <v>7285</v>
      </c>
      <c r="G6" s="120">
        <v>14.57</v>
      </c>
      <c r="H6" s="12">
        <f>G6*B6</f>
        <v>14570</v>
      </c>
      <c r="J6" t="s">
        <v>685</v>
      </c>
      <c r="L6" s="91"/>
    </row>
    <row r="7" spans="1:14">
      <c r="A7" t="s">
        <v>564</v>
      </c>
      <c r="B7" s="7">
        <v>0.5</v>
      </c>
      <c r="C7" s="91"/>
      <c r="D7" s="91"/>
      <c r="E7" s="12"/>
      <c r="F7" s="91"/>
      <c r="H7" s="12"/>
      <c r="J7" t="s">
        <v>686</v>
      </c>
      <c r="M7">
        <v>2</v>
      </c>
      <c r="N7" s="119" t="s">
        <v>687</v>
      </c>
    </row>
    <row r="8" spans="1:8">
      <c r="A8" t="s">
        <v>688</v>
      </c>
      <c r="B8" s="7">
        <v>0.5</v>
      </c>
      <c r="C8" s="91"/>
      <c r="D8" s="91"/>
      <c r="E8" s="12"/>
      <c r="F8" s="91"/>
      <c r="H8" s="12"/>
    </row>
    <row r="9" spans="1:8">
      <c r="A9" t="s">
        <v>482</v>
      </c>
      <c r="B9" s="121">
        <v>1.2</v>
      </c>
      <c r="C9" s="121">
        <v>1</v>
      </c>
      <c r="D9" s="91">
        <f>C9*G9*100</f>
        <v>17400</v>
      </c>
      <c r="E9" s="7">
        <f>B9-C9</f>
        <v>0.2</v>
      </c>
      <c r="F9" s="91">
        <f>E9*G9*100</f>
        <v>3480</v>
      </c>
      <c r="G9" s="120">
        <v>174</v>
      </c>
      <c r="H9" s="12">
        <f>G9*B9*100</f>
        <v>20880</v>
      </c>
    </row>
    <row r="10" spans="1:8">
      <c r="A10" t="s">
        <v>689</v>
      </c>
      <c r="B10" s="121">
        <v>0.2</v>
      </c>
      <c r="C10" s="121">
        <v>0</v>
      </c>
      <c r="D10" s="91">
        <f>C10*G10*100</f>
        <v>0</v>
      </c>
      <c r="E10" s="7">
        <f t="shared" ref="E9:E19" si="0">B10-C10</f>
        <v>0.2</v>
      </c>
      <c r="F10" s="91">
        <f>E10*G10*100</f>
        <v>3480</v>
      </c>
      <c r="G10" s="120">
        <v>174</v>
      </c>
      <c r="H10" s="12">
        <f>G10*B10*100</f>
        <v>3480</v>
      </c>
    </row>
    <row r="11" spans="1:18">
      <c r="A11" t="s">
        <v>474</v>
      </c>
      <c r="B11" s="121">
        <v>0.2</v>
      </c>
      <c r="C11" s="121">
        <v>0</v>
      </c>
      <c r="D11" s="91">
        <f>C11*G11*100</f>
        <v>0</v>
      </c>
      <c r="E11" s="7">
        <f t="shared" si="0"/>
        <v>0.2</v>
      </c>
      <c r="F11" s="91">
        <f>E11*G11*100</f>
        <v>3480</v>
      </c>
      <c r="G11" s="120">
        <v>174</v>
      </c>
      <c r="H11" s="12">
        <f>G11*B11*100</f>
        <v>3480</v>
      </c>
      <c r="P11" s="91"/>
      <c r="Q11" s="94"/>
      <c r="R11" s="91"/>
    </row>
    <row r="12" spans="1:8">
      <c r="A12" t="s">
        <v>478</v>
      </c>
      <c r="B12" s="121">
        <v>1</v>
      </c>
      <c r="C12" s="121">
        <v>0</v>
      </c>
      <c r="D12" s="91">
        <f>C12*G12*100</f>
        <v>0</v>
      </c>
      <c r="E12" s="7">
        <f t="shared" si="0"/>
        <v>1</v>
      </c>
      <c r="F12" s="91">
        <f>E12*G12*100</f>
        <v>3474</v>
      </c>
      <c r="G12" s="120">
        <v>34.74</v>
      </c>
      <c r="H12" s="12">
        <f>G12*B12*100</f>
        <v>3474</v>
      </c>
    </row>
    <row r="13" spans="1:8">
      <c r="A13" t="s">
        <v>109</v>
      </c>
      <c r="B13" s="91">
        <v>100</v>
      </c>
      <c r="C13" s="91">
        <v>100</v>
      </c>
      <c r="D13" s="91">
        <f>C13*G13</f>
        <v>50000</v>
      </c>
      <c r="E13" s="12">
        <f t="shared" si="0"/>
        <v>0</v>
      </c>
      <c r="F13" s="91">
        <f t="shared" ref="F9:F19" si="1">E13*G13</f>
        <v>0</v>
      </c>
      <c r="G13" s="120">
        <v>500</v>
      </c>
      <c r="H13" s="12">
        <f>G13*B13</f>
        <v>50000</v>
      </c>
    </row>
    <row r="14" spans="1:8">
      <c r="A14" t="s">
        <v>690</v>
      </c>
      <c r="B14" s="91">
        <v>4</v>
      </c>
      <c r="C14" s="91">
        <v>4</v>
      </c>
      <c r="D14" s="91">
        <f>C14*G14</f>
        <v>7400</v>
      </c>
      <c r="E14" s="12">
        <f t="shared" si="0"/>
        <v>0</v>
      </c>
      <c r="F14" s="91">
        <f t="shared" si="1"/>
        <v>0</v>
      </c>
      <c r="G14" s="120">
        <v>1850</v>
      </c>
      <c r="H14" s="12">
        <f>G14*B14</f>
        <v>7400</v>
      </c>
    </row>
    <row r="15" spans="1:8">
      <c r="A15" t="s">
        <v>691</v>
      </c>
      <c r="B15" s="91">
        <v>1</v>
      </c>
      <c r="C15" s="91">
        <v>1</v>
      </c>
      <c r="D15" s="91">
        <f>C15*G15</f>
        <v>9600</v>
      </c>
      <c r="E15" s="12">
        <f t="shared" si="0"/>
        <v>0</v>
      </c>
      <c r="F15" s="91">
        <f t="shared" si="1"/>
        <v>0</v>
      </c>
      <c r="G15" s="120">
        <v>9600</v>
      </c>
      <c r="H15" s="12">
        <f>G15*B15</f>
        <v>9600</v>
      </c>
    </row>
    <row r="16" spans="1:8">
      <c r="A16" t="s">
        <v>692</v>
      </c>
      <c r="B16" s="91">
        <v>10</v>
      </c>
      <c r="C16" s="91">
        <v>10</v>
      </c>
      <c r="D16" s="91">
        <f>C16*G16</f>
        <v>15260</v>
      </c>
      <c r="E16" s="12">
        <f t="shared" si="0"/>
        <v>0</v>
      </c>
      <c r="F16" s="91">
        <f t="shared" si="1"/>
        <v>0</v>
      </c>
      <c r="G16" s="120">
        <v>1526</v>
      </c>
      <c r="H16" s="12">
        <f>G16*B16</f>
        <v>15260</v>
      </c>
    </row>
    <row r="17" spans="1:8">
      <c r="A17" t="s">
        <v>486</v>
      </c>
      <c r="B17" s="121">
        <v>1</v>
      </c>
      <c r="C17" s="121">
        <v>1</v>
      </c>
      <c r="D17" s="91">
        <f>C17*G17*100</f>
        <v>20933</v>
      </c>
      <c r="E17" s="12">
        <f t="shared" si="0"/>
        <v>0</v>
      </c>
      <c r="F17" s="91">
        <f t="shared" si="1"/>
        <v>0</v>
      </c>
      <c r="G17" s="120">
        <v>209.33</v>
      </c>
      <c r="H17" s="12">
        <f>G17*B17*100</f>
        <v>20933</v>
      </c>
    </row>
    <row r="18" customHeight="1" spans="1:15">
      <c r="A18" t="s">
        <v>490</v>
      </c>
      <c r="B18" s="121">
        <v>0</v>
      </c>
      <c r="C18" s="121">
        <v>0</v>
      </c>
      <c r="D18" s="91">
        <f>C18*G18*100</f>
        <v>0</v>
      </c>
      <c r="E18" s="12">
        <f t="shared" si="0"/>
        <v>0</v>
      </c>
      <c r="F18" s="91">
        <f t="shared" si="1"/>
        <v>0</v>
      </c>
      <c r="G18" s="120">
        <v>209.33</v>
      </c>
      <c r="H18" s="12">
        <f>G18*B18</f>
        <v>0</v>
      </c>
      <c r="K18" t="s">
        <v>693</v>
      </c>
      <c r="L18" t="s">
        <v>694</v>
      </c>
      <c r="M18" t="s">
        <v>695</v>
      </c>
      <c r="N18" s="119" t="s">
        <v>666</v>
      </c>
      <c r="O18" t="s">
        <v>667</v>
      </c>
    </row>
    <row r="19" spans="1:15">
      <c r="A19" t="s">
        <v>494</v>
      </c>
      <c r="B19" s="121">
        <v>0</v>
      </c>
      <c r="C19" s="121">
        <v>0</v>
      </c>
      <c r="D19" s="91">
        <f>C19*G19*100</f>
        <v>0</v>
      </c>
      <c r="E19" s="12">
        <f t="shared" si="0"/>
        <v>0</v>
      </c>
      <c r="F19" s="91">
        <f t="shared" si="1"/>
        <v>0</v>
      </c>
      <c r="G19" s="120">
        <v>291.54</v>
      </c>
      <c r="H19" s="12">
        <f>G19*B19</f>
        <v>0</v>
      </c>
      <c r="J19" s="130" t="s">
        <v>696</v>
      </c>
      <c r="K19" t="s">
        <v>455</v>
      </c>
      <c r="L19">
        <v>1000</v>
      </c>
      <c r="M19" s="131">
        <f>L19/1000</f>
        <v>1</v>
      </c>
      <c r="N19">
        <v>10.42</v>
      </c>
      <c r="O19">
        <f>L19*N19</f>
        <v>10420</v>
      </c>
    </row>
    <row r="20" customFormat="1" spans="1:15">
      <c r="A20" t="s">
        <v>697</v>
      </c>
      <c r="B20" s="121"/>
      <c r="C20" s="121"/>
      <c r="D20" s="91"/>
      <c r="E20" s="12"/>
      <c r="F20" s="91"/>
      <c r="G20" s="122">
        <v>209.33</v>
      </c>
      <c r="H20" s="12"/>
      <c r="K20" t="s">
        <v>698</v>
      </c>
      <c r="L20"/>
      <c r="M20"/>
      <c r="N20" s="119"/>
      <c r="O20" s="12">
        <f>F23-O19</f>
        <v>5630</v>
      </c>
    </row>
    <row r="21" customFormat="1" spans="1:15">
      <c r="A21" t="s">
        <v>699</v>
      </c>
      <c r="B21" s="121"/>
      <c r="C21" s="121"/>
      <c r="D21" s="91"/>
      <c r="E21" s="12"/>
      <c r="F21" s="91"/>
      <c r="G21" s="122">
        <v>208.46</v>
      </c>
      <c r="H21" s="12"/>
      <c r="J21" s="130" t="s">
        <v>700</v>
      </c>
      <c r="K21" s="130" t="s">
        <v>459</v>
      </c>
      <c r="L21" s="130">
        <v>500</v>
      </c>
      <c r="M21" s="131">
        <f t="shared" ref="M21:M25" si="2">L21/1000</f>
        <v>0.5</v>
      </c>
      <c r="N21" s="119">
        <v>6.95</v>
      </c>
      <c r="O21" s="130">
        <f>L21*N21</f>
        <v>3475</v>
      </c>
    </row>
    <row r="22" s="10" customFormat="1" spans="1:15">
      <c r="A22" s="10" t="s">
        <v>701</v>
      </c>
      <c r="D22" s="11">
        <f>SUM(D2:D21)</f>
        <v>170879</v>
      </c>
      <c r="F22" s="11">
        <f>SUM(F2:F21)</f>
        <v>64200</v>
      </c>
      <c r="G22" s="11"/>
      <c r="H22" s="11">
        <f>SUM(H2:H21)</f>
        <v>235079</v>
      </c>
      <c r="J22"/>
      <c r="K22" s="130" t="s">
        <v>467</v>
      </c>
      <c r="L22" s="130">
        <v>500</v>
      </c>
      <c r="M22" s="131">
        <f t="shared" si="2"/>
        <v>0.5</v>
      </c>
      <c r="N22" s="119">
        <v>14.57</v>
      </c>
      <c r="O22" s="130">
        <f>L22*N22</f>
        <v>7285</v>
      </c>
    </row>
    <row r="23" spans="1:15">
      <c r="A23" t="s">
        <v>702</v>
      </c>
      <c r="F23" s="12">
        <f>F22/4</f>
        <v>16050</v>
      </c>
      <c r="J23" s="130"/>
      <c r="K23" s="130" t="s">
        <v>447</v>
      </c>
      <c r="L23" s="130">
        <f>O23/N23</f>
        <v>5290</v>
      </c>
      <c r="M23" s="131">
        <f t="shared" si="2"/>
        <v>5.29</v>
      </c>
      <c r="N23" s="131">
        <v>1</v>
      </c>
      <c r="O23" s="130">
        <f>16050-O21-O22</f>
        <v>5290</v>
      </c>
    </row>
    <row r="24" spans="10:15">
      <c r="J24" s="130" t="s">
        <v>703</v>
      </c>
      <c r="K24" s="130" t="s">
        <v>447</v>
      </c>
      <c r="L24" s="130">
        <f>O24/N24</f>
        <v>11944</v>
      </c>
      <c r="M24" s="131">
        <f t="shared" si="2"/>
        <v>11.944</v>
      </c>
      <c r="N24" s="131">
        <v>1</v>
      </c>
      <c r="O24" s="130">
        <f>16050-O25</f>
        <v>11944</v>
      </c>
    </row>
    <row r="25" spans="1:15">
      <c r="A25" t="s">
        <v>704</v>
      </c>
      <c r="K25" s="130" t="s">
        <v>452</v>
      </c>
      <c r="L25" s="130">
        <f>O25/N25</f>
        <v>20530</v>
      </c>
      <c r="M25" s="131">
        <f t="shared" si="2"/>
        <v>20.53</v>
      </c>
      <c r="N25" s="131">
        <v>0.2</v>
      </c>
      <c r="O25" s="130">
        <v>4106</v>
      </c>
    </row>
    <row r="26" spans="10:15">
      <c r="J26" s="130" t="s">
        <v>705</v>
      </c>
      <c r="K26" s="130" t="s">
        <v>447</v>
      </c>
      <c r="L26" s="130">
        <f>20530-L23-L24</f>
        <v>3296</v>
      </c>
      <c r="M26" s="130"/>
      <c r="N26" s="131">
        <v>1</v>
      </c>
      <c r="O26" s="130">
        <f>L26*N26</f>
        <v>3296</v>
      </c>
    </row>
    <row r="27" spans="11:15">
      <c r="K27" t="s">
        <v>706</v>
      </c>
      <c r="O27" s="12">
        <f>F23-O26</f>
        <v>12754</v>
      </c>
    </row>
    <row r="28" ht="23.25" customHeight="1" spans="1:10">
      <c r="A28" s="123" t="s">
        <v>707</v>
      </c>
      <c r="J28" s="132"/>
    </row>
    <row r="30" ht="18.75" customHeight="1" spans="1:1">
      <c r="A30" s="124" t="s">
        <v>708</v>
      </c>
    </row>
    <row r="32" s="117" customFormat="1" spans="1:14">
      <c r="A32" s="125" t="s">
        <v>709</v>
      </c>
      <c r="N32" s="133"/>
    </row>
    <row r="33" s="117" customFormat="1" spans="1:14">
      <c r="A33" s="126" t="s">
        <v>710</v>
      </c>
      <c r="N33" s="133"/>
    </row>
    <row r="34" s="117" customFormat="1" spans="1:14">
      <c r="A34" s="125" t="s">
        <v>711</v>
      </c>
      <c r="N34" s="133"/>
    </row>
    <row r="35" s="117" customFormat="1" spans="1:14">
      <c r="A35" s="125" t="s">
        <v>712</v>
      </c>
      <c r="N35" s="133"/>
    </row>
    <row r="36" s="117" customFormat="1" spans="1:14">
      <c r="A36" s="125" t="s">
        <v>713</v>
      </c>
      <c r="N36" s="133"/>
    </row>
    <row r="37" s="117" customFormat="1" spans="1:14">
      <c r="A37" s="125" t="s">
        <v>714</v>
      </c>
      <c r="N37" s="133"/>
    </row>
    <row r="38" s="117" customFormat="1" spans="1:14">
      <c r="A38" s="125" t="s">
        <v>715</v>
      </c>
      <c r="N38" s="133"/>
    </row>
    <row r="39" s="117" customFormat="1" spans="1:14">
      <c r="A39" s="125" t="s">
        <v>716</v>
      </c>
      <c r="N39" s="133"/>
    </row>
    <row r="40" s="117" customFormat="1" spans="1:14">
      <c r="A40" s="125" t="s">
        <v>717</v>
      </c>
      <c r="N40" s="133"/>
    </row>
    <row r="41" s="117" customFormat="1" ht="60" spans="1:14">
      <c r="A41" s="126" t="s">
        <v>718</v>
      </c>
      <c r="N41" s="133"/>
    </row>
    <row r="42" s="117" customFormat="1" ht="60" spans="1:14">
      <c r="A42" s="126" t="s">
        <v>719</v>
      </c>
      <c r="N42" s="133"/>
    </row>
    <row r="43" s="117" customFormat="1" spans="1:14">
      <c r="A43" s="117" t="s">
        <v>720</v>
      </c>
      <c r="N43" s="133"/>
    </row>
    <row r="44" s="117" customFormat="1" spans="1:14">
      <c r="A44" s="117" t="s">
        <v>721</v>
      </c>
      <c r="N44" s="133"/>
    </row>
    <row r="45" s="117" customFormat="1" spans="1:14">
      <c r="A45" s="117" t="s">
        <v>722</v>
      </c>
      <c r="N45" s="133"/>
    </row>
    <row r="46" s="117" customFormat="1" spans="1:14">
      <c r="A46" s="117" t="s">
        <v>723</v>
      </c>
      <c r="N46" s="133"/>
    </row>
    <row r="47" s="117" customFormat="1" spans="1:14">
      <c r="A47" s="117" t="s">
        <v>724</v>
      </c>
      <c r="N47" s="133"/>
    </row>
    <row r="48" s="117" customFormat="1" spans="1:14">
      <c r="A48" s="117" t="s">
        <v>725</v>
      </c>
      <c r="N48" s="133"/>
    </row>
    <row r="49" s="117" customFormat="1" spans="1:14">
      <c r="A49" s="117" t="s">
        <v>726</v>
      </c>
      <c r="N49" s="133"/>
    </row>
    <row r="51" spans="1:1">
      <c r="A51" s="10" t="s">
        <v>727</v>
      </c>
    </row>
    <row r="53" spans="1:1">
      <c r="A53" t="s">
        <v>728</v>
      </c>
    </row>
    <row r="54" s="118" customFormat="1" spans="1:14">
      <c r="A54" s="118" t="s">
        <v>729</v>
      </c>
      <c r="N54" s="134"/>
    </row>
    <row r="55" spans="1:1">
      <c r="A55" t="s">
        <v>730</v>
      </c>
    </row>
    <row r="57" s="118" customFormat="1" spans="1:14">
      <c r="A57" s="118" t="s">
        <v>731</v>
      </c>
      <c r="N57" s="134"/>
    </row>
    <row r="58" spans="1:1">
      <c r="A58" t="s">
        <v>732</v>
      </c>
    </row>
    <row r="60" s="118" customFormat="1" spans="1:14">
      <c r="A60" s="118" t="s">
        <v>733</v>
      </c>
      <c r="N60" s="134"/>
    </row>
    <row r="61" spans="1:1">
      <c r="A61" t="s">
        <v>734</v>
      </c>
    </row>
    <row r="63" spans="1:1">
      <c r="A63" t="s">
        <v>735</v>
      </c>
    </row>
    <row r="64" spans="1:1">
      <c r="A64" t="s">
        <v>736</v>
      </c>
    </row>
    <row r="65" ht="18.75" customHeight="1" spans="1:1">
      <c r="A65" s="124"/>
    </row>
    <row r="66" spans="1:1">
      <c r="A66" t="s">
        <v>737</v>
      </c>
    </row>
    <row r="67" s="118" customFormat="1" spans="1:14">
      <c r="A67" s="118" t="s">
        <v>738</v>
      </c>
      <c r="N67" s="134"/>
    </row>
    <row r="68" spans="1:1">
      <c r="A68" t="s">
        <v>739</v>
      </c>
    </row>
    <row r="70" spans="1:1">
      <c r="A70" t="s">
        <v>740</v>
      </c>
    </row>
    <row r="71" s="118" customFormat="1" spans="1:14">
      <c r="A71" s="118" t="s">
        <v>741</v>
      </c>
      <c r="N71" s="134"/>
    </row>
    <row r="73" spans="1:1">
      <c r="A73" t="s">
        <v>742</v>
      </c>
    </row>
    <row r="74" spans="1:1">
      <c r="A74" t="s">
        <v>743</v>
      </c>
    </row>
    <row r="75" spans="1:1">
      <c r="A75" t="s">
        <v>744</v>
      </c>
    </row>
    <row r="77" s="10" customFormat="1" spans="1:14">
      <c r="A77" s="10" t="s">
        <v>745</v>
      </c>
      <c r="N77" s="137"/>
    </row>
    <row r="79" s="118" customFormat="1" spans="1:14">
      <c r="A79" s="135" t="s">
        <v>746</v>
      </c>
      <c r="B79" s="135"/>
      <c r="C79" s="135"/>
      <c r="N79" s="134"/>
    </row>
    <row r="80" s="118" customFormat="1" spans="1:14">
      <c r="A80" s="118" t="s">
        <v>747</v>
      </c>
      <c r="B80" s="118"/>
      <c r="C80" s="118"/>
      <c r="N80" s="134"/>
    </row>
    <row r="81" s="118" customFormat="1" spans="1:14">
      <c r="A81" s="118" t="s">
        <v>748</v>
      </c>
      <c r="B81" s="118"/>
      <c r="C81" s="118"/>
      <c r="N81" s="134"/>
    </row>
    <row r="82" s="118" customFormat="1" spans="14:14">
      <c r="N82" s="134"/>
    </row>
    <row r="83" s="118" customFormat="1" spans="1:14">
      <c r="A83" s="118" t="s">
        <v>749</v>
      </c>
      <c r="B83" s="118"/>
      <c r="C83" s="118"/>
      <c r="N83" s="134"/>
    </row>
    <row r="84" s="118" customFormat="1" spans="1:14">
      <c r="A84" s="118" t="s">
        <v>750</v>
      </c>
      <c r="B84" s="118"/>
      <c r="C84" s="118"/>
      <c r="N84" s="134"/>
    </row>
    <row r="85" s="118" customFormat="1" spans="1:14">
      <c r="A85" s="118" t="s">
        <v>751</v>
      </c>
      <c r="B85" s="118"/>
      <c r="C85" s="118"/>
      <c r="N85" s="134"/>
    </row>
    <row r="86" s="118" customFormat="1" spans="1:14">
      <c r="A86" s="118" t="s">
        <v>752</v>
      </c>
      <c r="B86" s="118"/>
      <c r="C86" s="118"/>
      <c r="N86" s="134"/>
    </row>
    <row r="87" s="118" customFormat="1" spans="14:14">
      <c r="N87" s="134"/>
    </row>
    <row r="88" s="118" customFormat="1" spans="1:14">
      <c r="A88" s="118" t="s">
        <v>753</v>
      </c>
      <c r="B88" s="118"/>
      <c r="C88" s="118"/>
      <c r="N88" s="134"/>
    </row>
    <row r="89" s="118" customFormat="1" spans="1:14">
      <c r="A89" s="118" t="s">
        <v>754</v>
      </c>
      <c r="B89" s="118"/>
      <c r="C89" s="118"/>
      <c r="N89" s="134"/>
    </row>
    <row r="90" s="118" customFormat="1" spans="1:14">
      <c r="A90" s="118" t="s">
        <v>755</v>
      </c>
      <c r="B90" s="118"/>
      <c r="C90" s="118"/>
      <c r="N90" s="134"/>
    </row>
    <row r="91" s="118" customFormat="1" spans="1:14">
      <c r="A91" s="118" t="s">
        <v>756</v>
      </c>
      <c r="B91" s="118"/>
      <c r="C91" s="118"/>
      <c r="N91" s="134"/>
    </row>
    <row r="92" spans="1:3">
      <c r="A92" s="10"/>
      <c r="C92" s="10"/>
    </row>
    <row r="93" spans="1:3">
      <c r="A93" s="10" t="s">
        <v>757</v>
      </c>
      <c r="C93" s="10"/>
    </row>
    <row r="94" s="118" customFormat="1" spans="1:14">
      <c r="A94" s="118" t="s">
        <v>351</v>
      </c>
      <c r="B94" s="118" t="s">
        <v>758</v>
      </c>
      <c r="C94" s="118" t="s">
        <v>759</v>
      </c>
      <c r="N94" s="134"/>
    </row>
    <row r="95" s="118" customFormat="1" spans="1:14">
      <c r="A95" s="118" t="s">
        <v>447</v>
      </c>
      <c r="B95" s="118" t="s">
        <v>760</v>
      </c>
      <c r="C95" s="118" t="s">
        <v>761</v>
      </c>
      <c r="N95" s="134"/>
    </row>
    <row r="96" s="118" customFormat="1" ht="255" spans="1:14">
      <c r="A96" s="118" t="s">
        <v>452</v>
      </c>
      <c r="B96" s="88" t="s">
        <v>762</v>
      </c>
      <c r="C96" s="88" t="s">
        <v>763</v>
      </c>
      <c r="N96" s="134"/>
    </row>
    <row r="97" s="118" customFormat="1" ht="18.75" customHeight="1" spans="1:14">
      <c r="A97" s="118" t="s">
        <v>455</v>
      </c>
      <c r="B97" s="118" t="s">
        <v>764</v>
      </c>
      <c r="C97" s="118" t="s">
        <v>765</v>
      </c>
      <c r="N97" s="134"/>
    </row>
    <row r="98" s="118" customFormat="1" spans="1:14">
      <c r="A98" s="118" t="s">
        <v>459</v>
      </c>
      <c r="B98" s="118" t="s">
        <v>766</v>
      </c>
      <c r="C98" s="118" t="s">
        <v>767</v>
      </c>
      <c r="N98" s="134"/>
    </row>
    <row r="99" s="118" customFormat="1" spans="1:14">
      <c r="A99" s="118" t="s">
        <v>467</v>
      </c>
      <c r="B99" s="118" t="s">
        <v>768</v>
      </c>
      <c r="C99" s="118" t="s">
        <v>769</v>
      </c>
      <c r="N99" s="134"/>
    </row>
    <row r="100" s="118" customFormat="1" spans="1:14">
      <c r="A100" s="118" t="s">
        <v>482</v>
      </c>
      <c r="B100" s="118" t="s">
        <v>770</v>
      </c>
      <c r="C100" s="118" t="s">
        <v>771</v>
      </c>
      <c r="N100" s="134"/>
    </row>
    <row r="101" s="118" customFormat="1" spans="1:14">
      <c r="A101" s="136" t="s">
        <v>498</v>
      </c>
      <c r="B101" s="118" t="s">
        <v>772</v>
      </c>
      <c r="C101" s="118" t="s">
        <v>771</v>
      </c>
      <c r="N101" s="134"/>
    </row>
    <row r="102" s="118" customFormat="1" spans="1:14">
      <c r="A102" s="136" t="s">
        <v>474</v>
      </c>
      <c r="B102" s="118" t="s">
        <v>773</v>
      </c>
      <c r="C102" s="118" t="s">
        <v>771</v>
      </c>
      <c r="N102" s="134"/>
    </row>
    <row r="103" s="118" customFormat="1" spans="1:14">
      <c r="A103" s="136" t="s">
        <v>478</v>
      </c>
      <c r="B103" s="118" t="s">
        <v>774</v>
      </c>
      <c r="C103" s="118" t="s">
        <v>775</v>
      </c>
      <c r="N103" s="134"/>
    </row>
    <row r="104" s="118" customFormat="1" spans="1:14">
      <c r="A104" s="136" t="s">
        <v>109</v>
      </c>
      <c r="B104" s="118" t="s">
        <v>776</v>
      </c>
      <c r="C104" s="118" t="s">
        <v>777</v>
      </c>
      <c r="N104" s="134"/>
    </row>
    <row r="105" s="118" customFormat="1" spans="1:14">
      <c r="A105" s="136" t="s">
        <v>502</v>
      </c>
      <c r="B105" s="118" t="s">
        <v>778</v>
      </c>
      <c r="C105" s="118" t="s">
        <v>779</v>
      </c>
      <c r="N105" s="134"/>
    </row>
    <row r="106" s="118" customFormat="1" spans="1:14">
      <c r="A106" s="136" t="s">
        <v>780</v>
      </c>
      <c r="B106" s="118" t="s">
        <v>781</v>
      </c>
      <c r="C106" s="118" t="s">
        <v>782</v>
      </c>
      <c r="N106" s="134"/>
    </row>
    <row r="107" s="118" customFormat="1" spans="1:14">
      <c r="A107" s="118" t="s">
        <v>692</v>
      </c>
      <c r="B107" s="118" t="s">
        <v>783</v>
      </c>
      <c r="C107" s="118" t="s">
        <v>784</v>
      </c>
      <c r="N107" s="134"/>
    </row>
    <row r="108" s="118" customFormat="1" spans="1:14">
      <c r="A108" s="118" t="s">
        <v>486</v>
      </c>
      <c r="B108" s="118" t="s">
        <v>785</v>
      </c>
      <c r="C108" s="118" t="s">
        <v>786</v>
      </c>
      <c r="N108" s="134"/>
    </row>
    <row r="109" s="118" customFormat="1" spans="1:14">
      <c r="A109" s="118" t="s">
        <v>490</v>
      </c>
      <c r="B109" s="118" t="s">
        <v>787</v>
      </c>
      <c r="C109" s="118" t="s">
        <v>786</v>
      </c>
      <c r="N109" s="134"/>
    </row>
    <row r="110" s="118" customFormat="1" spans="1:14">
      <c r="A110" s="118" t="s">
        <v>494</v>
      </c>
      <c r="B110" s="118" t="s">
        <v>788</v>
      </c>
      <c r="C110" s="118" t="s">
        <v>789</v>
      </c>
      <c r="N110" s="134"/>
    </row>
    <row r="111" spans="1:1">
      <c r="A111" s="10"/>
    </row>
    <row r="112" s="10" customFormat="1" spans="1:14">
      <c r="A112" s="10" t="s">
        <v>790</v>
      </c>
      <c r="N112" s="137"/>
    </row>
    <row r="114" spans="1:1">
      <c r="A114" s="10" t="s">
        <v>692</v>
      </c>
    </row>
    <row r="115" spans="1:1">
      <c r="A115" t="s">
        <v>791</v>
      </c>
    </row>
    <row r="116" spans="1:1">
      <c r="A116" t="s">
        <v>792</v>
      </c>
    </row>
    <row r="117" spans="1:1">
      <c r="A117" t="s">
        <v>793</v>
      </c>
    </row>
    <row r="118" spans="1:1">
      <c r="A118" t="s">
        <v>794</v>
      </c>
    </row>
    <row r="120" s="10" customFormat="1" spans="1:14">
      <c r="A120" s="10" t="s">
        <v>452</v>
      </c>
      <c r="N120" s="137"/>
    </row>
    <row r="121" s="118" customFormat="1" spans="1:14">
      <c r="A121" s="118" t="s">
        <v>795</v>
      </c>
      <c r="N121" s="134"/>
    </row>
    <row r="122" spans="1:1">
      <c r="A122" t="s">
        <v>796</v>
      </c>
    </row>
    <row r="123" spans="1:1">
      <c r="A123" t="s">
        <v>797</v>
      </c>
    </row>
    <row r="124" spans="1:1">
      <c r="A124" t="s">
        <v>798</v>
      </c>
    </row>
    <row r="125" spans="1:1">
      <c r="A125" t="s">
        <v>799</v>
      </c>
    </row>
    <row r="126" spans="1:1">
      <c r="A126" t="s">
        <v>800</v>
      </c>
    </row>
    <row r="127" spans="1:1">
      <c r="A127" t="s">
        <v>801</v>
      </c>
    </row>
    <row r="129" s="10" customFormat="1" spans="1:14">
      <c r="A129" s="10" t="s">
        <v>109</v>
      </c>
      <c r="N129" s="137"/>
    </row>
    <row r="130" spans="1:1">
      <c r="A130" t="s">
        <v>802</v>
      </c>
    </row>
    <row r="131" spans="1:1">
      <c r="A131" t="s">
        <v>803</v>
      </c>
    </row>
    <row r="132" spans="1:1">
      <c r="A132" t="s">
        <v>804</v>
      </c>
    </row>
    <row r="134" s="10" customFormat="1" spans="1:14">
      <c r="A134" s="10" t="s">
        <v>805</v>
      </c>
      <c r="N134" s="137"/>
    </row>
    <row r="135" spans="1:1">
      <c r="A135" t="s">
        <v>806</v>
      </c>
    </row>
    <row r="136" spans="1:1">
      <c r="A136" t="s">
        <v>807</v>
      </c>
    </row>
    <row r="137" spans="1:1">
      <c r="A137" t="s">
        <v>808</v>
      </c>
    </row>
    <row r="138" spans="1:1">
      <c r="A138" t="s">
        <v>809</v>
      </c>
    </row>
    <row r="139" spans="1:1">
      <c r="A139" t="s">
        <v>810</v>
      </c>
    </row>
    <row r="140" spans="1:1">
      <c r="A140" t="s">
        <v>811</v>
      </c>
    </row>
    <row r="141" spans="1:1">
      <c r="A141" t="s">
        <v>812</v>
      </c>
    </row>
    <row r="142" spans="1:1">
      <c r="A142" t="s">
        <v>813</v>
      </c>
    </row>
    <row r="143" spans="1:1">
      <c r="A143" t="s">
        <v>814</v>
      </c>
    </row>
    <row r="144" spans="1:1">
      <c r="A144" t="s">
        <v>815</v>
      </c>
    </row>
    <row r="145" spans="1:1">
      <c r="A145" t="s">
        <v>816</v>
      </c>
    </row>
    <row r="146" spans="1:1">
      <c r="A146" t="s">
        <v>817</v>
      </c>
    </row>
    <row r="148" s="10" customFormat="1" spans="1:14">
      <c r="A148" s="10" t="s">
        <v>494</v>
      </c>
      <c r="N148" s="137"/>
    </row>
    <row r="149" spans="1:1">
      <c r="A149" t="s">
        <v>818</v>
      </c>
    </row>
    <row r="150" spans="1:1">
      <c r="A150" t="s">
        <v>819</v>
      </c>
    </row>
    <row r="151" spans="1:1">
      <c r="A151" t="s">
        <v>820</v>
      </c>
    </row>
    <row r="153" s="10" customFormat="1" spans="1:14">
      <c r="A153" s="10" t="s">
        <v>821</v>
      </c>
      <c r="N153" s="137"/>
    </row>
    <row r="155" spans="1:1">
      <c r="A155" t="s">
        <v>822</v>
      </c>
    </row>
    <row r="156" spans="1:1">
      <c r="A156" t="s">
        <v>823</v>
      </c>
    </row>
    <row r="157" spans="1:1">
      <c r="A157" t="s">
        <v>824</v>
      </c>
    </row>
    <row r="158" spans="1:1">
      <c r="A158" t="s">
        <v>825</v>
      </c>
    </row>
    <row r="160" spans="1:1">
      <c r="A160" t="s">
        <v>826</v>
      </c>
    </row>
    <row r="161" spans="1:1">
      <c r="A161" t="s">
        <v>827</v>
      </c>
    </row>
    <row r="162" spans="1:1">
      <c r="A162" t="s">
        <v>828</v>
      </c>
    </row>
    <row r="164" s="73" customFormat="1" spans="1:14">
      <c r="A164" s="138" t="s">
        <v>829</v>
      </c>
      <c r="N164" s="139"/>
    </row>
    <row r="165" spans="1:1">
      <c r="A165" t="s">
        <v>830</v>
      </c>
    </row>
    <row r="166" spans="1:1">
      <c r="A166" t="s">
        <v>831</v>
      </c>
    </row>
    <row r="167" spans="1:1">
      <c r="A167" s="138" t="s">
        <v>832</v>
      </c>
    </row>
    <row r="169" s="10" customFormat="1" spans="1:14">
      <c r="A169" s="10" t="s">
        <v>833</v>
      </c>
      <c r="N169" s="137"/>
    </row>
    <row r="170" spans="1:1">
      <c r="A170" t="s">
        <v>834</v>
      </c>
    </row>
    <row r="171" spans="1:1">
      <c r="A171" t="s">
        <v>835</v>
      </c>
    </row>
    <row r="172" spans="1:1">
      <c r="A172" t="s">
        <v>836</v>
      </c>
    </row>
    <row r="173" spans="1:1">
      <c r="A173" t="s">
        <v>837</v>
      </c>
    </row>
    <row r="174" spans="1:1">
      <c r="A174" t="s">
        <v>838</v>
      </c>
    </row>
    <row r="176" spans="1:1">
      <c r="A176" t="s">
        <v>839</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5"/>
  <sheetViews>
    <sheetView workbookViewId="0">
      <selection activeCell="D6" sqref="D6:D15"/>
    </sheetView>
  </sheetViews>
  <sheetFormatPr defaultColWidth="9.14285714285714" defaultRowHeight="15"/>
  <cols>
    <col min="1" max="1" width="20.7142857142857" style="91" customWidth="1"/>
    <col min="2" max="2" width="13.5714285714286" style="91" customWidth="1"/>
    <col min="3" max="3" width="14.1428571428571" style="91" customWidth="1"/>
    <col min="4" max="4" width="34.4285714285714" style="92" customWidth="1"/>
    <col min="5" max="5" width="27" style="91" customWidth="1"/>
    <col min="6" max="6" width="12.1428571428571" style="93" customWidth="1"/>
    <col min="7" max="7" width="9.14285714285714" style="91" customWidth="1"/>
    <col min="8" max="8" width="18" style="94" customWidth="1"/>
    <col min="9" max="9" width="11.7142857142857" style="91" customWidth="1"/>
  </cols>
  <sheetData>
    <row r="1" s="10" customFormat="1" spans="1:9">
      <c r="A1" s="95" t="s">
        <v>840</v>
      </c>
      <c r="B1" s="96" t="s">
        <v>841</v>
      </c>
      <c r="C1" s="96" t="s">
        <v>842</v>
      </c>
      <c r="D1" s="97" t="s">
        <v>843</v>
      </c>
      <c r="E1" s="95" t="s">
        <v>351</v>
      </c>
      <c r="F1" s="98" t="s">
        <v>844</v>
      </c>
      <c r="G1" s="95" t="s">
        <v>695</v>
      </c>
      <c r="H1" s="99" t="s">
        <v>845</v>
      </c>
      <c r="I1" s="95" t="s">
        <v>846</v>
      </c>
    </row>
    <row r="2" spans="1:9">
      <c r="A2" s="100" t="s">
        <v>847</v>
      </c>
      <c r="B2" s="101" t="s">
        <v>848</v>
      </c>
      <c r="C2" s="101" t="s">
        <v>849</v>
      </c>
      <c r="D2" s="102">
        <v>0</v>
      </c>
      <c r="E2" s="103" t="s">
        <v>455</v>
      </c>
      <c r="F2" s="103">
        <f>I2/H2</f>
        <v>906.525911708253</v>
      </c>
      <c r="G2" s="104">
        <f>F2/1000</f>
        <v>0.906525911708253</v>
      </c>
      <c r="H2" s="105">
        <v>10.42</v>
      </c>
      <c r="I2" s="103">
        <f>16050-SUM(I3:I4)</f>
        <v>9446</v>
      </c>
    </row>
    <row r="3" spans="1:9">
      <c r="A3" s="100" t="s">
        <v>847</v>
      </c>
      <c r="B3" s="101"/>
      <c r="C3" s="101"/>
      <c r="D3" s="102"/>
      <c r="E3" s="103" t="s">
        <v>692</v>
      </c>
      <c r="F3" s="103">
        <v>4</v>
      </c>
      <c r="G3" s="104"/>
      <c r="H3" s="105">
        <v>1526</v>
      </c>
      <c r="I3" s="103">
        <f>F3*H3</f>
        <v>6104</v>
      </c>
    </row>
    <row r="4" spans="1:9">
      <c r="A4" s="100" t="s">
        <v>847</v>
      </c>
      <c r="B4" s="101"/>
      <c r="C4" s="101"/>
      <c r="D4" s="102"/>
      <c r="E4" s="106" t="s">
        <v>452</v>
      </c>
      <c r="F4" s="103">
        <v>2500</v>
      </c>
      <c r="G4" s="104">
        <f>F4/1000</f>
        <v>2.5</v>
      </c>
      <c r="H4" s="105">
        <v>0.2</v>
      </c>
      <c r="I4" s="103">
        <f>F4*H4</f>
        <v>500</v>
      </c>
    </row>
    <row r="5" spans="1:9">
      <c r="A5" s="100" t="s">
        <v>850</v>
      </c>
      <c r="B5" s="107" t="s">
        <v>848</v>
      </c>
      <c r="C5" s="107" t="s">
        <v>851</v>
      </c>
      <c r="D5" s="108">
        <v>0.5</v>
      </c>
      <c r="E5" s="103" t="s">
        <v>455</v>
      </c>
      <c r="F5" s="103">
        <f>I5/H5</f>
        <v>1540.30710172745</v>
      </c>
      <c r="G5" s="104">
        <f>F5/1000</f>
        <v>1.54030710172745</v>
      </c>
      <c r="H5" s="105">
        <v>10.42</v>
      </c>
      <c r="I5" s="103">
        <f>16050</f>
        <v>16050</v>
      </c>
    </row>
    <row r="6" spans="1:9">
      <c r="A6" s="100" t="s">
        <v>852</v>
      </c>
      <c r="B6" s="107" t="s">
        <v>848</v>
      </c>
      <c r="C6" s="107" t="s">
        <v>853</v>
      </c>
      <c r="D6" s="108">
        <v>0.5</v>
      </c>
      <c r="E6" s="103" t="s">
        <v>455</v>
      </c>
      <c r="F6" s="103">
        <f>I6/H6</f>
        <v>1373.32053742802</v>
      </c>
      <c r="G6" s="104">
        <f>F6/1000</f>
        <v>1.37332053742802</v>
      </c>
      <c r="H6" s="105">
        <v>10.42</v>
      </c>
      <c r="I6" s="103">
        <f>16050-I7</f>
        <v>14310</v>
      </c>
    </row>
    <row r="7" spans="1:9">
      <c r="A7" s="100" t="s">
        <v>852</v>
      </c>
      <c r="B7" s="109"/>
      <c r="C7" s="109"/>
      <c r="D7" s="109"/>
      <c r="E7" s="103" t="s">
        <v>474</v>
      </c>
      <c r="F7" s="110">
        <v>0.1</v>
      </c>
      <c r="G7" s="104"/>
      <c r="H7" s="109">
        <v>174</v>
      </c>
      <c r="I7" s="103">
        <f>F7*H7*100</f>
        <v>1740</v>
      </c>
    </row>
    <row r="8" spans="1:9">
      <c r="A8" s="100" t="s">
        <v>854</v>
      </c>
      <c r="B8" s="107" t="s">
        <v>855</v>
      </c>
      <c r="C8" s="107" t="s">
        <v>849</v>
      </c>
      <c r="D8" s="111">
        <v>0</v>
      </c>
      <c r="E8" s="103" t="s">
        <v>455</v>
      </c>
      <c r="F8" s="103">
        <f>I8/H8</f>
        <v>872.36084452975</v>
      </c>
      <c r="G8" s="104">
        <f>F8/1000</f>
        <v>0.87236084452975</v>
      </c>
      <c r="H8" s="105">
        <v>10.42</v>
      </c>
      <c r="I8" s="103">
        <f>16050-I9-I10</f>
        <v>9090</v>
      </c>
    </row>
    <row r="9" spans="1:9">
      <c r="A9" s="100" t="s">
        <v>854</v>
      </c>
      <c r="B9" s="109"/>
      <c r="C9" s="109"/>
      <c r="D9" s="109"/>
      <c r="E9" s="103" t="s">
        <v>474</v>
      </c>
      <c r="F9" s="110">
        <v>0.1</v>
      </c>
      <c r="G9" s="103"/>
      <c r="H9" s="109">
        <v>174</v>
      </c>
      <c r="I9" s="103">
        <f>F9*H9*100</f>
        <v>1740</v>
      </c>
    </row>
    <row r="10" spans="1:9">
      <c r="A10" s="100" t="s">
        <v>854</v>
      </c>
      <c r="B10" s="109"/>
      <c r="C10" s="109"/>
      <c r="D10" s="109"/>
      <c r="E10" s="103" t="s">
        <v>482</v>
      </c>
      <c r="F10" s="110">
        <v>0.3</v>
      </c>
      <c r="G10" s="103"/>
      <c r="H10" s="109">
        <v>174</v>
      </c>
      <c r="I10" s="103">
        <f>F10*H10*100</f>
        <v>5220</v>
      </c>
    </row>
    <row r="11" spans="1:9">
      <c r="A11" s="100" t="s">
        <v>856</v>
      </c>
      <c r="B11" s="107" t="s">
        <v>848</v>
      </c>
      <c r="C11" s="107" t="s">
        <v>857</v>
      </c>
      <c r="D11" s="111" t="s">
        <v>858</v>
      </c>
      <c r="E11" s="103" t="s">
        <v>455</v>
      </c>
      <c r="F11" s="103">
        <f>I11/H11</f>
        <v>872.36084452975</v>
      </c>
      <c r="G11" s="104">
        <f>F11/1000</f>
        <v>0.87236084452975</v>
      </c>
      <c r="H11" s="105">
        <v>10.42</v>
      </c>
      <c r="I11" s="103">
        <f>16050-I12-I13</f>
        <v>9090</v>
      </c>
    </row>
    <row r="12" spans="1:9">
      <c r="A12" s="100" t="s">
        <v>856</v>
      </c>
      <c r="B12" s="109"/>
      <c r="C12" s="109"/>
      <c r="D12" s="109"/>
      <c r="E12" s="103" t="s">
        <v>689</v>
      </c>
      <c r="F12" s="110">
        <v>0.2</v>
      </c>
      <c r="G12" s="103"/>
      <c r="H12" s="105">
        <v>174</v>
      </c>
      <c r="I12" s="103">
        <f>F12*H12*100</f>
        <v>3480</v>
      </c>
    </row>
    <row r="13" spans="1:9">
      <c r="A13" s="100" t="s">
        <v>856</v>
      </c>
      <c r="B13" s="109"/>
      <c r="C13" s="109"/>
      <c r="D13" s="109"/>
      <c r="E13" s="103" t="s">
        <v>482</v>
      </c>
      <c r="F13" s="110">
        <v>0.2</v>
      </c>
      <c r="G13" s="103"/>
      <c r="H13" s="105">
        <v>174</v>
      </c>
      <c r="I13" s="103">
        <f>F13*H13*100</f>
        <v>3480</v>
      </c>
    </row>
    <row r="14" spans="1:9">
      <c r="A14" s="100" t="s">
        <v>859</v>
      </c>
      <c r="B14" s="107" t="s">
        <v>855</v>
      </c>
      <c r="C14" s="107" t="s">
        <v>860</v>
      </c>
      <c r="D14" s="108">
        <v>0.5</v>
      </c>
      <c r="E14" s="103" t="s">
        <v>455</v>
      </c>
      <c r="F14" s="104">
        <f>I14/H14</f>
        <v>620.192307692308</v>
      </c>
      <c r="G14" s="104">
        <f>F14/1000</f>
        <v>0.620192307692308</v>
      </c>
      <c r="H14" s="105">
        <v>10.4</v>
      </c>
      <c r="I14" s="103">
        <f>16050-I15</f>
        <v>6450</v>
      </c>
    </row>
    <row r="15" spans="1:9">
      <c r="A15" s="100" t="s">
        <v>859</v>
      </c>
      <c r="B15" s="109"/>
      <c r="C15" s="109"/>
      <c r="D15" s="109"/>
      <c r="E15" s="103" t="s">
        <v>691</v>
      </c>
      <c r="F15" s="104">
        <v>1</v>
      </c>
      <c r="G15" s="103"/>
      <c r="H15" s="109">
        <v>9600</v>
      </c>
      <c r="I15" s="103">
        <f>F15*H15</f>
        <v>9600</v>
      </c>
    </row>
    <row r="16" spans="1:9">
      <c r="A16" s="112" t="s">
        <v>861</v>
      </c>
      <c r="B16" s="107" t="s">
        <v>848</v>
      </c>
      <c r="C16" s="107" t="s">
        <v>849</v>
      </c>
      <c r="D16" s="111"/>
      <c r="E16" s="103" t="s">
        <v>455</v>
      </c>
      <c r="F16" s="103">
        <f t="shared" ref="F16:F24" si="0">I16/H16</f>
        <v>1348.36852207294</v>
      </c>
      <c r="G16" s="104">
        <f>F16/1000</f>
        <v>1.34836852207294</v>
      </c>
      <c r="H16" s="105">
        <v>10.42</v>
      </c>
      <c r="I16" s="103">
        <f>16050-I17</f>
        <v>14050</v>
      </c>
    </row>
    <row r="17" spans="1:9">
      <c r="A17" s="112" t="s">
        <v>861</v>
      </c>
      <c r="B17" s="107"/>
      <c r="C17" s="107"/>
      <c r="D17" s="111"/>
      <c r="E17" s="103" t="s">
        <v>452</v>
      </c>
      <c r="F17" s="103">
        <v>10000</v>
      </c>
      <c r="G17" s="104"/>
      <c r="H17" s="105">
        <v>0.2</v>
      </c>
      <c r="I17" s="103">
        <f>F17*H17</f>
        <v>2000</v>
      </c>
    </row>
    <row r="18" spans="1:9">
      <c r="A18" s="100" t="s">
        <v>862</v>
      </c>
      <c r="B18" s="113"/>
      <c r="C18" s="113"/>
      <c r="D18" s="111"/>
      <c r="E18" s="103" t="s">
        <v>459</v>
      </c>
      <c r="F18" s="104">
        <v>500</v>
      </c>
      <c r="G18" s="104">
        <f t="shared" ref="G18:G24" si="1">F18/1000</f>
        <v>0.5</v>
      </c>
      <c r="H18" s="109">
        <v>6.95</v>
      </c>
      <c r="I18" s="103">
        <f>F18*H18</f>
        <v>3475</v>
      </c>
    </row>
    <row r="19" spans="1:9">
      <c r="A19" s="100" t="s">
        <v>862</v>
      </c>
      <c r="B19" s="109"/>
      <c r="C19" s="109"/>
      <c r="D19" s="109"/>
      <c r="E19" s="103" t="s">
        <v>467</v>
      </c>
      <c r="F19" s="104">
        <v>500</v>
      </c>
      <c r="G19" s="104">
        <f t="shared" si="1"/>
        <v>0.5</v>
      </c>
      <c r="H19" s="109">
        <v>14.57</v>
      </c>
      <c r="I19" s="103">
        <f>F19*H19</f>
        <v>7285</v>
      </c>
    </row>
    <row r="20" spans="1:9">
      <c r="A20" s="100" t="s">
        <v>862</v>
      </c>
      <c r="B20" s="109"/>
      <c r="C20" s="109"/>
      <c r="D20" s="109"/>
      <c r="E20" s="103" t="s">
        <v>447</v>
      </c>
      <c r="F20" s="104">
        <f t="shared" si="0"/>
        <v>5290</v>
      </c>
      <c r="G20" s="104">
        <f t="shared" si="1"/>
        <v>5.29</v>
      </c>
      <c r="H20" s="105">
        <v>1</v>
      </c>
      <c r="I20" s="103">
        <f>16050-I18-I19</f>
        <v>5290</v>
      </c>
    </row>
    <row r="21" spans="1:9">
      <c r="A21" s="100" t="s">
        <v>863</v>
      </c>
      <c r="B21" s="107"/>
      <c r="C21" s="107"/>
      <c r="D21" s="111"/>
      <c r="E21" s="103" t="s">
        <v>447</v>
      </c>
      <c r="F21" s="104">
        <f t="shared" si="0"/>
        <v>11944</v>
      </c>
      <c r="G21" s="104">
        <f t="shared" si="1"/>
        <v>11.944</v>
      </c>
      <c r="H21" s="104">
        <v>1</v>
      </c>
      <c r="I21" s="103">
        <f>16050-I22</f>
        <v>11944</v>
      </c>
    </row>
    <row r="22" spans="1:9">
      <c r="A22" s="100" t="s">
        <v>863</v>
      </c>
      <c r="B22" s="109"/>
      <c r="C22" s="109"/>
      <c r="D22" s="109"/>
      <c r="E22" s="103" t="s">
        <v>452</v>
      </c>
      <c r="F22" s="104">
        <f t="shared" si="0"/>
        <v>20530</v>
      </c>
      <c r="G22" s="104">
        <f t="shared" si="1"/>
        <v>20.53</v>
      </c>
      <c r="H22" s="104">
        <v>0.2</v>
      </c>
      <c r="I22" s="103">
        <v>4106</v>
      </c>
    </row>
    <row r="23" spans="1:9">
      <c r="A23" s="100" t="s">
        <v>864</v>
      </c>
      <c r="B23" s="107"/>
      <c r="C23" s="107"/>
      <c r="D23" s="111"/>
      <c r="E23" s="103" t="s">
        <v>447</v>
      </c>
      <c r="F23" s="114">
        <f t="shared" si="0"/>
        <v>8000</v>
      </c>
      <c r="G23" s="104">
        <f t="shared" si="1"/>
        <v>8</v>
      </c>
      <c r="H23" s="105">
        <v>1</v>
      </c>
      <c r="I23" s="103">
        <v>8000</v>
      </c>
    </row>
    <row r="24" spans="1:9">
      <c r="A24" s="100" t="s">
        <v>864</v>
      </c>
      <c r="B24" s="109"/>
      <c r="C24" s="109"/>
      <c r="D24" s="109"/>
      <c r="E24" s="103" t="s">
        <v>455</v>
      </c>
      <c r="F24" s="114">
        <f t="shared" si="0"/>
        <v>54.7024952015355</v>
      </c>
      <c r="G24" s="104">
        <f t="shared" si="1"/>
        <v>0.0547024952015355</v>
      </c>
      <c r="H24" s="105">
        <v>10.42</v>
      </c>
      <c r="I24" s="103">
        <f>16050-SUM(I23,I25:I27)</f>
        <v>570</v>
      </c>
    </row>
    <row r="25" spans="1:9">
      <c r="A25" s="100" t="s">
        <v>864</v>
      </c>
      <c r="B25" s="109"/>
      <c r="C25" s="109"/>
      <c r="D25" s="109"/>
      <c r="E25" s="103" t="s">
        <v>482</v>
      </c>
      <c r="F25" s="115">
        <v>0.2</v>
      </c>
      <c r="G25" s="104"/>
      <c r="H25" s="109">
        <v>174</v>
      </c>
      <c r="I25" s="103">
        <f>F25*H25*100</f>
        <v>3480</v>
      </c>
    </row>
    <row r="26" spans="1:9">
      <c r="A26" s="100" t="s">
        <v>864</v>
      </c>
      <c r="B26" s="109"/>
      <c r="C26" s="109"/>
      <c r="D26" s="109"/>
      <c r="E26" s="103" t="s">
        <v>459</v>
      </c>
      <c r="F26" s="114">
        <f>I26/H26</f>
        <v>287.769784172662</v>
      </c>
      <c r="G26" s="104">
        <f>F26/1000</f>
        <v>0.287769784172662</v>
      </c>
      <c r="H26" s="109">
        <v>6.95</v>
      </c>
      <c r="I26" s="103">
        <v>2000</v>
      </c>
    </row>
    <row r="27" spans="1:9">
      <c r="A27" s="100" t="s">
        <v>864</v>
      </c>
      <c r="B27" s="109"/>
      <c r="C27" s="109"/>
      <c r="D27" s="109"/>
      <c r="E27" s="103" t="s">
        <v>467</v>
      </c>
      <c r="F27" s="114">
        <f>I27/H27</f>
        <v>137.268359643102</v>
      </c>
      <c r="G27" s="104">
        <f t="shared" ref="G27:G33" si="2">F27/1000</f>
        <v>0.137268359643102</v>
      </c>
      <c r="H27" s="109">
        <v>14.57</v>
      </c>
      <c r="I27" s="103">
        <v>2000</v>
      </c>
    </row>
    <row r="28" spans="1:9">
      <c r="A28" s="100" t="s">
        <v>865</v>
      </c>
      <c r="B28" s="107"/>
      <c r="C28" s="107"/>
      <c r="D28" s="111"/>
      <c r="E28" s="103" t="s">
        <v>447</v>
      </c>
      <c r="F28" s="114">
        <f>I28/H28</f>
        <v>7050</v>
      </c>
      <c r="G28" s="104">
        <f t="shared" si="2"/>
        <v>7.05</v>
      </c>
      <c r="H28" s="105">
        <v>1</v>
      </c>
      <c r="I28" s="103">
        <f>16050-SUM(I29:I31)</f>
        <v>7050</v>
      </c>
    </row>
    <row r="29" spans="1:9">
      <c r="A29" s="100" t="s">
        <v>865</v>
      </c>
      <c r="B29" s="107"/>
      <c r="C29" s="107"/>
      <c r="D29" s="111"/>
      <c r="E29" s="103" t="s">
        <v>459</v>
      </c>
      <c r="F29" s="114">
        <f>I29/H29</f>
        <v>1007.19424460432</v>
      </c>
      <c r="G29" s="104">
        <f t="shared" si="2"/>
        <v>1.00719424460432</v>
      </c>
      <c r="H29" s="109">
        <v>6.95</v>
      </c>
      <c r="I29" s="103">
        <v>7000</v>
      </c>
    </row>
    <row r="30" spans="1:9">
      <c r="A30" s="100" t="s">
        <v>865</v>
      </c>
      <c r="B30" s="107"/>
      <c r="C30" s="107"/>
      <c r="D30" s="111"/>
      <c r="E30" s="103" t="s">
        <v>467</v>
      </c>
      <c r="F30" s="114">
        <f>I30/H30</f>
        <v>480.439258750858</v>
      </c>
      <c r="G30" s="104">
        <f t="shared" si="2"/>
        <v>0.480439258750858</v>
      </c>
      <c r="H30" s="109">
        <v>14.57</v>
      </c>
      <c r="I30" s="103">
        <v>7000</v>
      </c>
    </row>
    <row r="31" spans="1:9">
      <c r="A31" s="100" t="s">
        <v>865</v>
      </c>
      <c r="B31" s="107"/>
      <c r="C31" s="107"/>
      <c r="D31" s="111"/>
      <c r="E31" s="103" t="s">
        <v>866</v>
      </c>
      <c r="F31" s="114">
        <v>-10</v>
      </c>
      <c r="G31" s="103"/>
      <c r="H31" s="105">
        <v>500</v>
      </c>
      <c r="I31" s="103">
        <f>F31*H31</f>
        <v>-5000</v>
      </c>
    </row>
    <row r="32" spans="1:9">
      <c r="A32" s="100" t="s">
        <v>867</v>
      </c>
      <c r="B32" s="107"/>
      <c r="C32" s="107"/>
      <c r="D32" s="111"/>
      <c r="E32" s="103" t="s">
        <v>452</v>
      </c>
      <c r="F32" s="114">
        <f>I32/H32</f>
        <v>10000</v>
      </c>
      <c r="G32" s="104">
        <f t="shared" si="2"/>
        <v>10</v>
      </c>
      <c r="H32" s="105">
        <v>0.2</v>
      </c>
      <c r="I32" s="103">
        <v>2000</v>
      </c>
    </row>
    <row r="33" spans="1:9">
      <c r="A33" s="100" t="s">
        <v>867</v>
      </c>
      <c r="B33" s="109"/>
      <c r="C33" s="109"/>
      <c r="D33" s="109"/>
      <c r="E33" s="103" t="s">
        <v>467</v>
      </c>
      <c r="F33" s="114">
        <f>I33/H33</f>
        <v>754.838709677419</v>
      </c>
      <c r="G33" s="104">
        <f t="shared" si="2"/>
        <v>0.754838709677419</v>
      </c>
      <c r="H33" s="109">
        <v>14.57</v>
      </c>
      <c r="I33" s="103">
        <f>16050-I32-I34</f>
        <v>10998</v>
      </c>
    </row>
    <row r="34" spans="1:9">
      <c r="A34" s="100" t="s">
        <v>867</v>
      </c>
      <c r="B34" s="109"/>
      <c r="C34" s="109"/>
      <c r="D34" s="109"/>
      <c r="E34" s="103" t="s">
        <v>692</v>
      </c>
      <c r="F34" s="103">
        <v>2</v>
      </c>
      <c r="G34" s="103"/>
      <c r="H34" s="105">
        <v>1526</v>
      </c>
      <c r="I34" s="103">
        <f>H34*F34</f>
        <v>3052</v>
      </c>
    </row>
    <row r="35" spans="1:9">
      <c r="A35" s="100" t="s">
        <v>868</v>
      </c>
      <c r="B35" s="107"/>
      <c r="C35" s="107"/>
      <c r="D35" s="111"/>
      <c r="E35" s="103" t="s">
        <v>455</v>
      </c>
      <c r="F35" s="104">
        <f>I35/H35</f>
        <v>705.374280230326</v>
      </c>
      <c r="G35" s="104">
        <f>F35/1000</f>
        <v>0.705374280230326</v>
      </c>
      <c r="H35" s="105">
        <v>10.42</v>
      </c>
      <c r="I35" s="103">
        <f>16050-SUM(I36:I37)</f>
        <v>7350</v>
      </c>
    </row>
    <row r="36" spans="1:9">
      <c r="A36" s="100" t="s">
        <v>868</v>
      </c>
      <c r="B36" s="109"/>
      <c r="C36" s="109"/>
      <c r="D36" s="109"/>
      <c r="E36" s="103" t="s">
        <v>474</v>
      </c>
      <c r="F36" s="116">
        <v>0.25</v>
      </c>
      <c r="G36" s="103"/>
      <c r="H36" s="105">
        <v>174</v>
      </c>
      <c r="I36" s="103">
        <f>F36*H36*100</f>
        <v>4350</v>
      </c>
    </row>
    <row r="37" spans="1:9">
      <c r="A37" s="100" t="s">
        <v>868</v>
      </c>
      <c r="B37" s="109"/>
      <c r="C37" s="109"/>
      <c r="D37" s="109"/>
      <c r="E37" s="103" t="s">
        <v>482</v>
      </c>
      <c r="F37" s="116">
        <v>0.25</v>
      </c>
      <c r="G37" s="103"/>
      <c r="H37" s="105">
        <v>174</v>
      </c>
      <c r="I37" s="103">
        <f>F37*H37*100</f>
        <v>4350</v>
      </c>
    </row>
    <row r="38" spans="1:9">
      <c r="A38" s="100" t="s">
        <v>869</v>
      </c>
      <c r="B38" s="107"/>
      <c r="C38" s="107"/>
      <c r="D38" s="111"/>
      <c r="E38" s="103" t="s">
        <v>455</v>
      </c>
      <c r="F38" s="103">
        <f>I38/H38</f>
        <v>38.0038387715931</v>
      </c>
      <c r="G38" s="104">
        <f>F38/1000</f>
        <v>0.0380038387715931</v>
      </c>
      <c r="H38" s="105">
        <v>10.42</v>
      </c>
      <c r="I38" s="103">
        <f>16050-SUM(I39:I41)</f>
        <v>396</v>
      </c>
    </row>
    <row r="39" spans="1:9">
      <c r="A39" s="100" t="s">
        <v>869</v>
      </c>
      <c r="B39" s="109"/>
      <c r="C39" s="109"/>
      <c r="D39" s="109"/>
      <c r="E39" s="103" t="s">
        <v>474</v>
      </c>
      <c r="F39" s="110">
        <v>0.3</v>
      </c>
      <c r="G39" s="103"/>
      <c r="H39" s="105">
        <v>174</v>
      </c>
      <c r="I39" s="103">
        <f>F39*H39*100</f>
        <v>5220</v>
      </c>
    </row>
    <row r="40" spans="1:9">
      <c r="A40" s="100" t="s">
        <v>869</v>
      </c>
      <c r="B40" s="109"/>
      <c r="C40" s="109"/>
      <c r="D40" s="109"/>
      <c r="E40" s="103" t="s">
        <v>478</v>
      </c>
      <c r="F40" s="110">
        <v>1</v>
      </c>
      <c r="G40" s="103"/>
      <c r="H40">
        <v>34.74</v>
      </c>
      <c r="I40" s="103">
        <f>F40*H40*100</f>
        <v>3474</v>
      </c>
    </row>
    <row r="41" spans="1:9">
      <c r="A41" s="100" t="s">
        <v>869</v>
      </c>
      <c r="B41" s="109"/>
      <c r="C41" s="109"/>
      <c r="D41" s="109"/>
      <c r="E41" s="103" t="s">
        <v>482</v>
      </c>
      <c r="F41" s="110">
        <v>0.4</v>
      </c>
      <c r="G41" s="103"/>
      <c r="H41" s="105">
        <v>174</v>
      </c>
      <c r="I41" s="103">
        <f>F41*H41*100</f>
        <v>6960</v>
      </c>
    </row>
    <row r="48" spans="1:1">
      <c r="A48" t="s">
        <v>870</v>
      </c>
    </row>
    <row r="49" spans="1:1">
      <c r="A49" t="s">
        <v>871</v>
      </c>
    </row>
    <row r="50" spans="1:1">
      <c r="A50" s="91" t="s">
        <v>872</v>
      </c>
    </row>
    <row r="51" spans="1:1">
      <c r="A51" s="91" t="s">
        <v>873</v>
      </c>
    </row>
    <row r="52" spans="1:1">
      <c r="A52" s="91" t="s">
        <v>874</v>
      </c>
    </row>
    <row r="53" spans="1:1">
      <c r="A53" s="91" t="s">
        <v>875</v>
      </c>
    </row>
    <row r="54" spans="1:1">
      <c r="A54" s="91" t="s">
        <v>876</v>
      </c>
    </row>
    <row r="55" spans="1:1">
      <c r="A55" t="s">
        <v>877</v>
      </c>
    </row>
  </sheetData>
  <autoFilter xmlns:etc="http://www.wps.cn/officeDocument/2017/etCustomData" ref="A1:P41" etc:filterBottomFollowUsedRange="0">
    <extLst/>
  </autoFilter>
  <mergeCells count="39">
    <mergeCell ref="B2:B4"/>
    <mergeCell ref="B6:B7"/>
    <mergeCell ref="B8:B10"/>
    <mergeCell ref="B11:B13"/>
    <mergeCell ref="B14:B15"/>
    <mergeCell ref="B16:B17"/>
    <mergeCell ref="B18:B20"/>
    <mergeCell ref="B21:B22"/>
    <mergeCell ref="B23:B27"/>
    <mergeCell ref="B28:B31"/>
    <mergeCell ref="B32:B34"/>
    <mergeCell ref="B35:B37"/>
    <mergeCell ref="B38:B41"/>
    <mergeCell ref="C2:C4"/>
    <mergeCell ref="C6:C7"/>
    <mergeCell ref="C8:C10"/>
    <mergeCell ref="C11:C13"/>
    <mergeCell ref="C14:C15"/>
    <mergeCell ref="C16:C17"/>
    <mergeCell ref="C18:C20"/>
    <mergeCell ref="C21:C22"/>
    <mergeCell ref="C23:C27"/>
    <mergeCell ref="C28:C31"/>
    <mergeCell ref="C32:C34"/>
    <mergeCell ref="C35:C37"/>
    <mergeCell ref="C38:C41"/>
    <mergeCell ref="D2:D4"/>
    <mergeCell ref="D6:D7"/>
    <mergeCell ref="D8:D10"/>
    <mergeCell ref="D11:D13"/>
    <mergeCell ref="D14:D15"/>
    <mergeCell ref="D16:D17"/>
    <mergeCell ref="D18:D20"/>
    <mergeCell ref="D21:D22"/>
    <mergeCell ref="D23:D27"/>
    <mergeCell ref="D28:D31"/>
    <mergeCell ref="D32:D34"/>
    <mergeCell ref="D35:D37"/>
    <mergeCell ref="D38:D41"/>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4"/>
  <sheetViews>
    <sheetView workbookViewId="0">
      <selection activeCell="C2" sqref="C2:C28"/>
    </sheetView>
  </sheetViews>
  <sheetFormatPr defaultColWidth="9.14285714285714" defaultRowHeight="15" outlineLevelCol="5"/>
  <cols>
    <col min="1" max="1" width="28.4285714285714" style="52" customWidth="1"/>
    <col min="2" max="2" width="30.7142857142857" style="52" customWidth="1"/>
    <col min="3" max="3" width="16.4285714285714" style="52" customWidth="1"/>
    <col min="4" max="4" width="15" style="52" customWidth="1"/>
    <col min="5" max="5" width="12.8571428571429" style="52" customWidth="1"/>
    <col min="6" max="6" width="105.714285714286" style="73" customWidth="1"/>
    <col min="7" max="16384" width="9.14285714285714" style="52"/>
  </cols>
  <sheetData>
    <row r="1" spans="1:6">
      <c r="A1" s="74" t="s">
        <v>878</v>
      </c>
      <c r="B1" s="74" t="s">
        <v>879</v>
      </c>
      <c r="C1" s="74" t="s">
        <v>880</v>
      </c>
      <c r="D1" s="74" t="s">
        <v>881</v>
      </c>
      <c r="E1" s="74" t="s">
        <v>882</v>
      </c>
      <c r="F1" s="75" t="s">
        <v>883</v>
      </c>
    </row>
    <row r="2" spans="1:6">
      <c r="A2" s="52" t="s">
        <v>884</v>
      </c>
      <c r="C2" s="76">
        <f>20*E2</f>
        <v>0.0959692898272552</v>
      </c>
      <c r="D2" s="77">
        <f>E67</f>
        <v>9.59692898272553</v>
      </c>
      <c r="E2" s="78">
        <f>F67</f>
        <v>0.00479846449136276</v>
      </c>
      <c r="F2" s="79" t="s">
        <v>885</v>
      </c>
    </row>
    <row r="3" spans="1:6">
      <c r="A3" s="52" t="s">
        <v>886</v>
      </c>
      <c r="C3" s="80">
        <f>40*D3</f>
        <v>795.776</v>
      </c>
      <c r="D3" s="77">
        <f>E68</f>
        <v>19.8944</v>
      </c>
      <c r="E3" s="81">
        <f>F68</f>
        <v>0.00343006896551724</v>
      </c>
      <c r="F3" s="79" t="s">
        <v>887</v>
      </c>
    </row>
    <row r="4" spans="1:6">
      <c r="A4" s="52" t="s">
        <v>888</v>
      </c>
      <c r="C4" s="77">
        <f>45.14*E4</f>
        <v>0.649496402877698</v>
      </c>
      <c r="D4" s="77">
        <f>E69</f>
        <v>14.3884892086331</v>
      </c>
      <c r="E4" s="81">
        <f>F69</f>
        <v>0.0143884892086331</v>
      </c>
      <c r="F4" s="79" t="s">
        <v>889</v>
      </c>
    </row>
    <row r="5" spans="1:6">
      <c r="A5" s="52" t="s">
        <v>890</v>
      </c>
      <c r="C5" s="77">
        <f>40*E5</f>
        <v>0.274536719286204</v>
      </c>
      <c r="D5" s="77">
        <f>E70</f>
        <v>6.86341798215511</v>
      </c>
      <c r="E5" s="81">
        <f>F70</f>
        <v>0.00686341798215511</v>
      </c>
      <c r="F5" s="79" t="s">
        <v>891</v>
      </c>
    </row>
    <row r="6" spans="1:6">
      <c r="A6" s="52" t="s">
        <v>892</v>
      </c>
      <c r="C6" s="77">
        <f>80*D6</f>
        <v>767.754318618042</v>
      </c>
      <c r="D6" s="77">
        <f>E67</f>
        <v>9.59692898272553</v>
      </c>
      <c r="E6" s="81">
        <f>F67</f>
        <v>0.00479846449136276</v>
      </c>
      <c r="F6" s="79" t="s">
        <v>893</v>
      </c>
    </row>
    <row r="7" spans="1:6">
      <c r="A7" s="52" t="s">
        <v>894</v>
      </c>
      <c r="C7" s="77"/>
      <c r="D7" s="77">
        <f>E68</f>
        <v>19.8944</v>
      </c>
      <c r="E7" s="81">
        <f>F68</f>
        <v>0.00343006896551724</v>
      </c>
      <c r="F7" s="79" t="s">
        <v>895</v>
      </c>
    </row>
    <row r="8" spans="1:6">
      <c r="A8" s="52" t="s">
        <v>896</v>
      </c>
      <c r="C8" s="77">
        <f>40*E8</f>
        <v>0.575539568345324</v>
      </c>
      <c r="D8" s="77">
        <f>E69</f>
        <v>14.3884892086331</v>
      </c>
      <c r="E8" s="81">
        <f>F69</f>
        <v>0.0143884892086331</v>
      </c>
      <c r="F8" s="79" t="s">
        <v>897</v>
      </c>
    </row>
    <row r="9" spans="1:6">
      <c r="A9" s="52" t="s">
        <v>898</v>
      </c>
      <c r="C9" s="77">
        <f>40*E9</f>
        <v>0.274536719286204</v>
      </c>
      <c r="D9" s="77">
        <f>E70</f>
        <v>6.86341798215511</v>
      </c>
      <c r="E9" s="81">
        <f>F70</f>
        <v>0.00686341798215511</v>
      </c>
      <c r="F9" s="79" t="s">
        <v>899</v>
      </c>
    </row>
    <row r="10" spans="1:6">
      <c r="A10" s="52" t="s">
        <v>900</v>
      </c>
      <c r="C10" s="77"/>
      <c r="D10" s="77">
        <f>E71</f>
        <v>0.2</v>
      </c>
      <c r="E10" s="81">
        <f>F71</f>
        <v>0.002</v>
      </c>
      <c r="F10" s="79" t="s">
        <v>901</v>
      </c>
    </row>
    <row r="11" spans="1:6">
      <c r="A11" s="52" t="s">
        <v>902</v>
      </c>
      <c r="C11" s="77"/>
      <c r="D11" s="77">
        <f>E71</f>
        <v>0.2</v>
      </c>
      <c r="E11" s="81">
        <f>F71</f>
        <v>0.002</v>
      </c>
      <c r="F11" s="79" t="s">
        <v>903</v>
      </c>
    </row>
    <row r="12" spans="1:6">
      <c r="A12" s="52" t="s">
        <v>904</v>
      </c>
      <c r="C12" s="77">
        <f>20*D12</f>
        <v>11.4942528735632</v>
      </c>
      <c r="D12" s="77">
        <f>E72</f>
        <v>0.574712643678161</v>
      </c>
      <c r="E12" s="81">
        <f>F72</f>
        <v>0.00478927203065134</v>
      </c>
      <c r="F12" s="79" t="s">
        <v>905</v>
      </c>
    </row>
    <row r="13" spans="1:6">
      <c r="A13" s="52" t="s">
        <v>906</v>
      </c>
      <c r="C13" s="82">
        <f>40*D13</f>
        <v>22.9885057471264</v>
      </c>
      <c r="D13" s="77">
        <f>E72</f>
        <v>0.574712643678161</v>
      </c>
      <c r="E13" s="81">
        <f>F72</f>
        <v>0.00478927203065134</v>
      </c>
      <c r="F13" s="79" t="s">
        <v>907</v>
      </c>
    </row>
    <row r="14" spans="1:6">
      <c r="A14" s="52" t="s">
        <v>908</v>
      </c>
      <c r="C14" s="77"/>
      <c r="D14" s="77">
        <f>E73</f>
        <v>0.477714613290021</v>
      </c>
      <c r="E14" s="81">
        <f>F73</f>
        <v>0.00477714613290021</v>
      </c>
      <c r="F14" s="79" t="s">
        <v>909</v>
      </c>
    </row>
    <row r="15" spans="1:6">
      <c r="A15" s="52" t="s">
        <v>910</v>
      </c>
      <c r="C15" s="77">
        <f>30*D15</f>
        <v>17.2413793103448</v>
      </c>
      <c r="D15" s="77">
        <f>E74</f>
        <v>0.574712643678161</v>
      </c>
      <c r="E15" s="78">
        <f>F74</f>
        <v>0.028735632183908</v>
      </c>
      <c r="F15" s="79" t="s">
        <v>911</v>
      </c>
    </row>
    <row r="16" spans="1:6">
      <c r="A16" s="52" t="s">
        <v>912</v>
      </c>
      <c r="C16" s="77"/>
      <c r="D16" s="77">
        <f>E74</f>
        <v>0.574712643678161</v>
      </c>
      <c r="E16" s="78">
        <f>F74</f>
        <v>0.028735632183908</v>
      </c>
      <c r="F16" s="79" t="s">
        <v>913</v>
      </c>
    </row>
    <row r="17" spans="1:6">
      <c r="A17" s="52" t="s">
        <v>865</v>
      </c>
      <c r="B17" s="52">
        <v>4</v>
      </c>
      <c r="D17" s="77">
        <v>100</v>
      </c>
      <c r="F17" s="79" t="s">
        <v>914</v>
      </c>
    </row>
    <row r="18" spans="1:6">
      <c r="A18" s="52" t="s">
        <v>915</v>
      </c>
      <c r="C18" s="77">
        <f>40*D18</f>
        <v>19.1085845316008</v>
      </c>
      <c r="D18" s="77">
        <f>E75</f>
        <v>0.477714613290021</v>
      </c>
      <c r="E18" s="81"/>
      <c r="F18" s="83" t="s">
        <v>317</v>
      </c>
    </row>
    <row r="19" spans="1:6">
      <c r="A19" s="52" t="s">
        <v>916</v>
      </c>
      <c r="C19" s="77">
        <f>40*D19</f>
        <v>19.1883334932361</v>
      </c>
      <c r="D19" s="77">
        <f>E76</f>
        <v>0.479708337330903</v>
      </c>
      <c r="E19" s="81"/>
      <c r="F19" s="83" t="s">
        <v>325</v>
      </c>
    </row>
    <row r="20" spans="1:6">
      <c r="A20" s="52" t="s">
        <v>917</v>
      </c>
      <c r="C20" s="7"/>
      <c r="E20" s="81">
        <v>0.002</v>
      </c>
      <c r="F20" s="79" t="s">
        <v>918</v>
      </c>
    </row>
    <row r="21" spans="1:6">
      <c r="A21" s="52" t="s">
        <v>919</v>
      </c>
      <c r="E21" s="81">
        <v>0.002</v>
      </c>
      <c r="F21" s="79" t="s">
        <v>920</v>
      </c>
    </row>
    <row r="22" spans="1:6">
      <c r="A22" s="52" t="s">
        <v>921</v>
      </c>
      <c r="F22" s="79" t="s">
        <v>922</v>
      </c>
    </row>
    <row r="23" spans="1:6">
      <c r="A23" s="52" t="s">
        <v>805</v>
      </c>
      <c r="B23" s="52">
        <v>3</v>
      </c>
      <c r="F23" s="79" t="s">
        <v>923</v>
      </c>
    </row>
    <row r="24" spans="1:6">
      <c r="A24" s="52" t="s">
        <v>924</v>
      </c>
      <c r="B24" s="52">
        <v>3</v>
      </c>
      <c r="F24" s="79" t="s">
        <v>925</v>
      </c>
    </row>
    <row r="25" spans="1:6">
      <c r="A25" s="52" t="s">
        <v>502</v>
      </c>
      <c r="F25" s="79" t="s">
        <v>926</v>
      </c>
    </row>
    <row r="26" spans="1:6">
      <c r="A26" s="52" t="s">
        <v>927</v>
      </c>
      <c r="F26" s="79" t="s">
        <v>928</v>
      </c>
    </row>
    <row r="27" spans="1:6">
      <c r="A27" s="52" t="s">
        <v>929</v>
      </c>
      <c r="B27" s="52" t="s">
        <v>930</v>
      </c>
      <c r="C27" s="84">
        <f>C62</f>
        <v>4240</v>
      </c>
      <c r="F27" s="79" t="s">
        <v>931</v>
      </c>
    </row>
    <row r="28" spans="1:6">
      <c r="A28" s="52" t="s">
        <v>932</v>
      </c>
      <c r="C28" s="84">
        <f>C63</f>
        <v>3473.33333333333</v>
      </c>
      <c r="F28" s="79" t="s">
        <v>933</v>
      </c>
    </row>
    <row r="29" spans="1:6">
      <c r="A29" s="52" t="s">
        <v>934</v>
      </c>
      <c r="F29" s="79" t="s">
        <v>935</v>
      </c>
    </row>
    <row r="30" spans="1:6">
      <c r="A30" s="52" t="s">
        <v>936</v>
      </c>
      <c r="F30" s="79" t="s">
        <v>937</v>
      </c>
    </row>
    <row r="31" spans="1:6">
      <c r="A31" s="52" t="s">
        <v>938</v>
      </c>
      <c r="F31" s="79" t="s">
        <v>939</v>
      </c>
    </row>
    <row r="32" spans="1:6">
      <c r="A32" s="52" t="s">
        <v>940</v>
      </c>
      <c r="F32" s="79" t="s">
        <v>941</v>
      </c>
    </row>
    <row r="33" spans="1:6">
      <c r="A33" s="52" t="s">
        <v>942</v>
      </c>
      <c r="F33" s="79" t="s">
        <v>943</v>
      </c>
    </row>
    <row r="34" spans="1:6">
      <c r="A34" s="52" t="s">
        <v>944</v>
      </c>
      <c r="F34" s="79" t="s">
        <v>945</v>
      </c>
    </row>
    <row r="36" spans="1:3">
      <c r="A36" s="85" t="s">
        <v>28</v>
      </c>
      <c r="B36" s="85" t="s">
        <v>276</v>
      </c>
      <c r="C36" s="85" t="s">
        <v>946</v>
      </c>
    </row>
    <row r="37" spans="1:6">
      <c r="A37" s="86" t="s">
        <v>947</v>
      </c>
      <c r="B37" s="86" t="s">
        <v>948</v>
      </c>
      <c r="C37" s="86" t="s">
        <v>949</v>
      </c>
      <c r="D37" s="74"/>
      <c r="F37" s="87"/>
    </row>
    <row r="38" spans="1:3">
      <c r="A38" s="86" t="s">
        <v>950</v>
      </c>
      <c r="B38" s="86" t="s">
        <v>951</v>
      </c>
      <c r="C38" s="86" t="s">
        <v>952</v>
      </c>
    </row>
    <row r="39" spans="1:3">
      <c r="A39" s="86" t="s">
        <v>953</v>
      </c>
      <c r="B39" s="86" t="s">
        <v>951</v>
      </c>
      <c r="C39" s="86" t="s">
        <v>954</v>
      </c>
    </row>
    <row r="40" spans="1:3">
      <c r="A40" s="86" t="s">
        <v>955</v>
      </c>
      <c r="B40" s="86" t="s">
        <v>956</v>
      </c>
      <c r="C40" s="86" t="s">
        <v>957</v>
      </c>
    </row>
    <row r="41" spans="1:3">
      <c r="A41" s="86" t="s">
        <v>958</v>
      </c>
      <c r="B41" s="86" t="s">
        <v>959</v>
      </c>
      <c r="C41" s="86" t="s">
        <v>960</v>
      </c>
    </row>
    <row r="42" spans="1:3">
      <c r="A42" s="86" t="s">
        <v>961</v>
      </c>
      <c r="B42" s="86" t="s">
        <v>962</v>
      </c>
      <c r="C42" s="86" t="s">
        <v>963</v>
      </c>
    </row>
    <row r="43" spans="1:3">
      <c r="A43" s="86" t="s">
        <v>964</v>
      </c>
      <c r="B43" s="86" t="s">
        <v>965</v>
      </c>
      <c r="C43" s="86" t="s">
        <v>966</v>
      </c>
    </row>
    <row r="44" spans="1:3">
      <c r="A44" s="86" t="s">
        <v>967</v>
      </c>
      <c r="B44" s="86" t="s">
        <v>968</v>
      </c>
      <c r="C44" s="86" t="s">
        <v>969</v>
      </c>
    </row>
    <row r="45" spans="1:3">
      <c r="A45" s="86" t="s">
        <v>970</v>
      </c>
      <c r="B45" s="86" t="s">
        <v>971</v>
      </c>
      <c r="C45" s="86" t="s">
        <v>972</v>
      </c>
    </row>
    <row r="46" spans="1:3">
      <c r="A46" s="86" t="s">
        <v>973</v>
      </c>
      <c r="B46" s="86" t="s">
        <v>974</v>
      </c>
      <c r="C46" s="86" t="s">
        <v>975</v>
      </c>
    </row>
    <row r="47" spans="1:3">
      <c r="A47" s="86" t="s">
        <v>181</v>
      </c>
      <c r="B47" s="86" t="s">
        <v>976</v>
      </c>
      <c r="C47" s="86" t="s">
        <v>977</v>
      </c>
    </row>
    <row r="48" spans="1:3">
      <c r="A48" s="86" t="s">
        <v>978</v>
      </c>
      <c r="B48" s="86" t="s">
        <v>979</v>
      </c>
      <c r="C48" s="86" t="s">
        <v>980</v>
      </c>
    </row>
    <row r="51" spans="1:2">
      <c r="A51" s="85" t="s">
        <v>28</v>
      </c>
      <c r="B51" s="85" t="s">
        <v>946</v>
      </c>
    </row>
    <row r="52" spans="1:2">
      <c r="A52" s="86" t="s">
        <v>981</v>
      </c>
      <c r="B52" s="86" t="s">
        <v>982</v>
      </c>
    </row>
    <row r="53" spans="1:2">
      <c r="A53" s="86" t="s">
        <v>983</v>
      </c>
      <c r="B53" s="86" t="s">
        <v>984</v>
      </c>
    </row>
    <row r="54" spans="1:2">
      <c r="A54" s="86" t="s">
        <v>985</v>
      </c>
      <c r="B54" s="86" t="s">
        <v>986</v>
      </c>
    </row>
    <row r="55" spans="1:2">
      <c r="A55" s="86" t="s">
        <v>987</v>
      </c>
      <c r="B55" s="86" t="s">
        <v>988</v>
      </c>
    </row>
    <row r="56" spans="1:2">
      <c r="A56" s="86" t="s">
        <v>989</v>
      </c>
      <c r="B56" s="86" t="s">
        <v>990</v>
      </c>
    </row>
    <row r="57" spans="1:2">
      <c r="A57" s="86" t="s">
        <v>991</v>
      </c>
      <c r="B57" s="86" t="s">
        <v>992</v>
      </c>
    </row>
    <row r="58" spans="1:2">
      <c r="A58" s="86" t="s">
        <v>993</v>
      </c>
      <c r="B58" s="86" t="s">
        <v>994</v>
      </c>
    </row>
    <row r="59" spans="1:2">
      <c r="A59" s="86" t="s">
        <v>865</v>
      </c>
      <c r="B59" s="86" t="s">
        <v>995</v>
      </c>
    </row>
    <row r="61" spans="1:4">
      <c r="A61" s="85" t="s">
        <v>878</v>
      </c>
      <c r="B61" s="85" t="s">
        <v>996</v>
      </c>
      <c r="C61" s="85" t="s">
        <v>880</v>
      </c>
      <c r="D61" s="85" t="s">
        <v>997</v>
      </c>
    </row>
    <row r="62" ht="45" spans="1:4">
      <c r="A62" s="86" t="s">
        <v>929</v>
      </c>
      <c r="B62" s="86" t="s">
        <v>998</v>
      </c>
      <c r="C62" s="84">
        <f>5*(100/D10)+10*(100/D12)</f>
        <v>4240</v>
      </c>
      <c r="D62" s="86" t="s">
        <v>999</v>
      </c>
    </row>
    <row r="63" ht="45" spans="1:4">
      <c r="A63" s="86" t="s">
        <v>932</v>
      </c>
      <c r="B63" s="86" t="s">
        <v>1000</v>
      </c>
      <c r="C63" s="84">
        <f>(400/1.2)*(100/D2)</f>
        <v>3473.33333333333</v>
      </c>
      <c r="D63" s="86" t="s">
        <v>1001</v>
      </c>
    </row>
    <row r="66" spans="1:6">
      <c r="A66" s="85" t="s">
        <v>1002</v>
      </c>
      <c r="B66" s="85" t="s">
        <v>1003</v>
      </c>
      <c r="C66" s="85" t="s">
        <v>1004</v>
      </c>
      <c r="D66" s="85" t="s">
        <v>1005</v>
      </c>
      <c r="E66" s="85" t="s">
        <v>1006</v>
      </c>
      <c r="F66" s="75" t="s">
        <v>1007</v>
      </c>
    </row>
    <row r="67" spans="1:6">
      <c r="A67" s="88" t="s">
        <v>455</v>
      </c>
      <c r="B67" s="88" t="s">
        <v>1008</v>
      </c>
      <c r="C67" s="89">
        <v>10.42</v>
      </c>
      <c r="D67" s="89">
        <v>2000</v>
      </c>
      <c r="E67" s="89">
        <f t="shared" ref="E67:E76" si="0">100/C67</f>
        <v>9.59692898272553</v>
      </c>
      <c r="F67" s="90">
        <f t="shared" ref="F67:F74" si="1">E67/D67</f>
        <v>0.00479846449136276</v>
      </c>
    </row>
    <row r="68" spans="1:6">
      <c r="A68" s="88" t="s">
        <v>1009</v>
      </c>
      <c r="B68" s="88" t="s">
        <v>1008</v>
      </c>
      <c r="C68" s="89">
        <f>50000*0.25/2486.8</f>
        <v>5.02654013189641</v>
      </c>
      <c r="D68" s="89">
        <v>5800</v>
      </c>
      <c r="E68" s="89">
        <f t="shared" si="0"/>
        <v>19.8944</v>
      </c>
      <c r="F68" s="90">
        <f t="shared" si="1"/>
        <v>0.00343006896551724</v>
      </c>
    </row>
    <row r="69" spans="1:6">
      <c r="A69" s="88" t="s">
        <v>459</v>
      </c>
      <c r="B69" s="88" t="s">
        <v>1008</v>
      </c>
      <c r="C69" s="89">
        <v>6.95</v>
      </c>
      <c r="D69" s="89">
        <v>1000</v>
      </c>
      <c r="E69" s="89">
        <f t="shared" si="0"/>
        <v>14.3884892086331</v>
      </c>
      <c r="F69" s="90">
        <f t="shared" si="1"/>
        <v>0.0143884892086331</v>
      </c>
    </row>
    <row r="70" spans="1:6">
      <c r="A70" s="88" t="s">
        <v>467</v>
      </c>
      <c r="B70" s="88" t="s">
        <v>1008</v>
      </c>
      <c r="C70" s="89">
        <v>14.57</v>
      </c>
      <c r="D70" s="89">
        <v>1000</v>
      </c>
      <c r="E70" s="89">
        <f t="shared" si="0"/>
        <v>6.86341798215511</v>
      </c>
      <c r="F70" s="90">
        <f t="shared" si="1"/>
        <v>0.00686341798215511</v>
      </c>
    </row>
    <row r="71" spans="1:6">
      <c r="A71" s="88" t="s">
        <v>109</v>
      </c>
      <c r="B71" s="88" t="s">
        <v>1008</v>
      </c>
      <c r="C71" s="89">
        <v>500</v>
      </c>
      <c r="D71" s="89">
        <v>100</v>
      </c>
      <c r="E71" s="89">
        <f t="shared" si="0"/>
        <v>0.2</v>
      </c>
      <c r="F71" s="90">
        <f t="shared" si="1"/>
        <v>0.002</v>
      </c>
    </row>
    <row r="72" spans="1:6">
      <c r="A72" s="88" t="s">
        <v>482</v>
      </c>
      <c r="B72" s="88" t="s">
        <v>1010</v>
      </c>
      <c r="C72" s="89">
        <v>174</v>
      </c>
      <c r="D72" s="89">
        <v>120</v>
      </c>
      <c r="E72" s="89">
        <f t="shared" si="0"/>
        <v>0.574712643678161</v>
      </c>
      <c r="F72" s="90">
        <f t="shared" si="1"/>
        <v>0.00478927203065134</v>
      </c>
    </row>
    <row r="73" spans="1:6">
      <c r="A73" s="88" t="s">
        <v>486</v>
      </c>
      <c r="B73" s="88" t="s">
        <v>1010</v>
      </c>
      <c r="C73" s="89">
        <v>209.33</v>
      </c>
      <c r="D73" s="89">
        <v>100</v>
      </c>
      <c r="E73" s="89">
        <f t="shared" si="0"/>
        <v>0.477714613290021</v>
      </c>
      <c r="F73" s="90">
        <f t="shared" si="1"/>
        <v>0.00477714613290021</v>
      </c>
    </row>
    <row r="74" spans="1:6">
      <c r="A74" s="88" t="s">
        <v>474</v>
      </c>
      <c r="B74" s="88" t="s">
        <v>1010</v>
      </c>
      <c r="C74" s="89">
        <v>174</v>
      </c>
      <c r="D74" s="89">
        <v>20</v>
      </c>
      <c r="E74" s="89">
        <f t="shared" si="0"/>
        <v>0.574712643678161</v>
      </c>
      <c r="F74" s="90">
        <f t="shared" si="1"/>
        <v>0.028735632183908</v>
      </c>
    </row>
    <row r="75" spans="1:5">
      <c r="A75" s="88" t="s">
        <v>915</v>
      </c>
      <c r="B75" s="88" t="s">
        <v>1010</v>
      </c>
      <c r="C75" s="89">
        <v>209.33</v>
      </c>
      <c r="E75" s="89">
        <f t="shared" si="0"/>
        <v>0.477714613290021</v>
      </c>
    </row>
    <row r="76" spans="1:5">
      <c r="A76" s="88" t="s">
        <v>916</v>
      </c>
      <c r="B76" s="88" t="s">
        <v>1010</v>
      </c>
      <c r="C76" s="89">
        <v>208.46</v>
      </c>
      <c r="E76" s="89">
        <f t="shared" si="0"/>
        <v>0.479708337330903</v>
      </c>
    </row>
    <row r="79" spans="1:2">
      <c r="A79" s="88" t="s">
        <v>276</v>
      </c>
      <c r="B79" s="88" t="s">
        <v>1011</v>
      </c>
    </row>
    <row r="80" spans="1:2">
      <c r="A80" s="88" t="s">
        <v>1012</v>
      </c>
      <c r="B80" s="88" t="s">
        <v>1013</v>
      </c>
    </row>
    <row r="81" spans="1:2">
      <c r="A81" s="88" t="s">
        <v>1014</v>
      </c>
      <c r="B81" s="88" t="s">
        <v>1015</v>
      </c>
    </row>
    <row r="82" spans="1:2">
      <c r="A82" s="88" t="s">
        <v>1016</v>
      </c>
      <c r="B82" s="88" t="s">
        <v>1017</v>
      </c>
    </row>
    <row r="83" spans="1:2">
      <c r="A83" s="88" t="s">
        <v>1018</v>
      </c>
      <c r="B83" s="88" t="s">
        <v>1019</v>
      </c>
    </row>
    <row r="84" spans="1:2">
      <c r="A84" s="88" t="s">
        <v>1020</v>
      </c>
      <c r="B84" s="88" t="s">
        <v>1021</v>
      </c>
    </row>
  </sheetData>
  <mergeCells count="31">
    <mergeCell ref="C36:F36"/>
    <mergeCell ref="C37:F37"/>
    <mergeCell ref="C38:F38"/>
    <mergeCell ref="C39:F39"/>
    <mergeCell ref="C40:F40"/>
    <mergeCell ref="C41:F41"/>
    <mergeCell ref="C42:F42"/>
    <mergeCell ref="C43:F43"/>
    <mergeCell ref="C44:F44"/>
    <mergeCell ref="C45:F45"/>
    <mergeCell ref="C46:F46"/>
    <mergeCell ref="C47:F47"/>
    <mergeCell ref="C48:F48"/>
    <mergeCell ref="B51:F51"/>
    <mergeCell ref="B52:F52"/>
    <mergeCell ref="B53:F53"/>
    <mergeCell ref="B54:F54"/>
    <mergeCell ref="B55:F55"/>
    <mergeCell ref="B56:F56"/>
    <mergeCell ref="B57:F57"/>
    <mergeCell ref="B58:F58"/>
    <mergeCell ref="B59:F59"/>
    <mergeCell ref="D61:F61"/>
    <mergeCell ref="D62:F62"/>
    <mergeCell ref="D63:F63"/>
    <mergeCell ref="B79:F79"/>
    <mergeCell ref="B80:F80"/>
    <mergeCell ref="B81:F81"/>
    <mergeCell ref="B82:F82"/>
    <mergeCell ref="B83:F83"/>
    <mergeCell ref="B84:F84"/>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abSelected="1" workbookViewId="0">
      <selection activeCell="B9" sqref="B9:H28"/>
    </sheetView>
  </sheetViews>
  <sheetFormatPr defaultColWidth="9.14285714285714" defaultRowHeight="15"/>
  <cols>
    <col min="1" max="1" width="22.5714285714286" customWidth="1"/>
    <col min="2" max="2" width="15.2857142857143" customWidth="1"/>
    <col min="3" max="3" width="22.8571428571429" customWidth="1"/>
    <col min="4" max="4" width="14.2857142857143" customWidth="1"/>
    <col min="5" max="5" width="34.8571428571429" customWidth="1"/>
    <col min="6" max="6" width="23.4285714285714" customWidth="1"/>
    <col min="7" max="7" width="27" customWidth="1"/>
    <col min="8" max="8" width="26.2857142857143" customWidth="1"/>
    <col min="9" max="9" width="29" customWidth="1"/>
    <col min="10" max="10" width="15.4285714285714" customWidth="1"/>
    <col min="11" max="11" width="10" customWidth="1"/>
    <col min="12" max="12" width="16" customWidth="1"/>
  </cols>
  <sheetData>
    <row r="1" spans="1:2">
      <c r="A1" t="s">
        <v>1022</v>
      </c>
      <c r="B1" t="s">
        <v>1023</v>
      </c>
    </row>
    <row r="2" spans="1:2">
      <c r="A2" t="s">
        <v>1024</v>
      </c>
      <c r="B2" t="s">
        <v>1025</v>
      </c>
    </row>
    <row r="3" spans="1:2">
      <c r="A3" t="s">
        <v>1026</v>
      </c>
      <c r="B3" s="1" t="s">
        <v>847</v>
      </c>
    </row>
    <row r="4" spans="1:2">
      <c r="A4" t="s">
        <v>1027</v>
      </c>
      <c r="B4" t="s">
        <v>865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56724</v>
      </c>
      <c r="C9" s="5">
        <v>32440</v>
      </c>
      <c r="D9" s="5">
        <f>C9*G9</f>
        <v>32440</v>
      </c>
      <c r="E9" s="6">
        <f>SUMIFS(Item!$F$2:$F$1003,Item!$A$2:$A$1003,$B$3,Item!$E$2:$E$1003,$A9)+SUMIFS(Item!$F$2:$F$1003,Item!$A$2:$A$1003,$B$4,Item!$E$2:$E$1003,$A9)+SUMIFS(Item!$F$2:$F$1003,Item!$A$2:$A$1003,$B$5,Item!$E$2:$E$1003,$A9)+SUMIFS(Item!$F$2:$F$1003,Item!$A$2:$A$1003,$B$6,Item!$E$2:$E$1003,$A9)</f>
        <v>24284</v>
      </c>
      <c r="F9" s="5">
        <f>E9*G9</f>
        <v>24284</v>
      </c>
      <c r="G9">
        <v>1</v>
      </c>
      <c r="H9" s="6">
        <f>B9*G9</f>
        <v>56724</v>
      </c>
    </row>
    <row r="10" spans="1:8">
      <c r="A10" t="s">
        <v>452</v>
      </c>
      <c r="B10" s="5">
        <f>SUM(C10,E10)</f>
        <v>40600</v>
      </c>
      <c r="C10" s="5">
        <v>17570</v>
      </c>
      <c r="D10" s="5">
        <f>C10*G10</f>
        <v>3514</v>
      </c>
      <c r="E10" s="6">
        <f>SUMIFS(Item!$F$2:$F$1003,Item!$A$2:$A$1003,$B$3,Item!$E$2:$E$1003,$A10)+SUMIFS(Item!$F$2:$F$1003,Item!$A$2:$A$1003,$B$4,Item!$E$2:$E$1003,$A10)+SUMIFS(Item!$F$2:$F$1003,Item!$A$2:$A$1003,$B$5,Item!$E$2:$E$1003,$A10)+SUMIFS(Item!$F$2:$F$1003,Item!$A$2:$A$1003,$B$6,Item!$E$2:$E$1003,$A10)</f>
        <v>23030</v>
      </c>
      <c r="F10" s="5">
        <f>E10*G10</f>
        <v>4606</v>
      </c>
      <c r="G10">
        <v>0.2</v>
      </c>
      <c r="H10" s="6">
        <f>B10*G10</f>
        <v>8120</v>
      </c>
    </row>
    <row r="11" spans="1:8">
      <c r="A11" t="s">
        <v>455</v>
      </c>
      <c r="B11" s="5">
        <f>SUM(C11,E11)</f>
        <v>2243.09021113243</v>
      </c>
      <c r="C11" s="5">
        <f>13927/G11</f>
        <v>1336.56429942418</v>
      </c>
      <c r="D11" s="5">
        <f>C11*G11</f>
        <v>13927</v>
      </c>
      <c r="E11" s="6">
        <f>SUMIFS(Item!$F$2:$F$1003,Item!$A$2:$A$1003,$B$3,Item!$E$2:$E$1003,$A11)+SUMIFS(Item!$F$2:$F$1003,Item!$A$2:$A$1003,$B$4,Item!$E$2:$E$1003,$A11)+SUMIFS(Item!$F$2:$F$1003,Item!$A$2:$A$1003,$B$5,Item!$E$2:$E$1003,$A11)+SUMIFS(Item!$F$2:$F$1003,Item!$A$2:$A$1003,$B$6,Item!$E$2:$E$1003,$A11)</f>
        <v>906.525911708253</v>
      </c>
      <c r="F11" s="5">
        <f>E11*G11</f>
        <v>9446</v>
      </c>
      <c r="G11">
        <v>10.42</v>
      </c>
      <c r="H11" s="6">
        <f>B11*G11</f>
        <v>23373</v>
      </c>
    </row>
    <row r="12" spans="1:11">
      <c r="A12" t="s">
        <v>1033</v>
      </c>
      <c r="B12" s="5">
        <f>B11*B17*(1+B19*B20)</f>
        <v>2243.09021113243</v>
      </c>
      <c r="C12" s="5"/>
      <c r="D12" s="5"/>
      <c r="E12" s="6"/>
      <c r="F12" s="5"/>
      <c r="H12" s="6"/>
      <c r="I12" s="6"/>
      <c r="J12" s="6"/>
      <c r="K12" s="7"/>
    </row>
    <row r="13" spans="1:11">
      <c r="A13" t="s">
        <v>459</v>
      </c>
      <c r="B13" s="5">
        <f>SUM(C13,E13)</f>
        <v>2331.19424460432</v>
      </c>
      <c r="C13" s="5">
        <v>824</v>
      </c>
      <c r="D13" s="5">
        <f>C13*G13</f>
        <v>5726.8</v>
      </c>
      <c r="E13" s="6">
        <f>SUMIFS(Item!$F$2:$F$1003,Item!$A$2:$A$1003,$B$3,Item!$E$2:$E$1003,$A13)+SUMIFS(Item!$F$2:$F$1003,Item!$A$2:$A$1003,$B$4,Item!$E$2:$E$1003,$A13)+SUMIFS(Item!$F$2:$F$1003,Item!$A$2:$A$1003,$B$5,Item!$E$2:$E$1003,$A13)+SUMIFS(Item!$F$2:$F$1003,Item!$A$2:$A$1003,$B$6,Item!$E$2:$E$1003,$A13)</f>
        <v>1507.19424460432</v>
      </c>
      <c r="F13" s="5">
        <f>E13*G13</f>
        <v>10475</v>
      </c>
      <c r="G13">
        <v>6.95</v>
      </c>
      <c r="H13" s="6">
        <f>B13*G13</f>
        <v>16201.8</v>
      </c>
      <c r="I13" s="6"/>
      <c r="J13" s="6"/>
      <c r="K13" s="7"/>
    </row>
    <row r="14" spans="1:10">
      <c r="A14" t="s">
        <v>467</v>
      </c>
      <c r="B14" s="5">
        <f>SUM(C14,E14)</f>
        <v>1960.43925875086</v>
      </c>
      <c r="C14" s="5">
        <v>980</v>
      </c>
      <c r="D14" s="5">
        <f>C14*G14</f>
        <v>14278.6</v>
      </c>
      <c r="E14" s="6">
        <f>SUMIFS(Item!$F$2:$F$1003,Item!$A$2:$A$1003,$B$3,Item!$E$2:$E$1003,$A14)+SUMIFS(Item!$F$2:$F$1003,Item!$A$2:$A$1003,$B$4,Item!$E$2:$E$1003,$A14)+SUMIFS(Item!$F$2:$F$1003,Item!$A$2:$A$1003,$B$5,Item!$E$2:$E$1003,$A14)+SUMIFS(Item!$F$2:$F$1003,Item!$A$2:$A$1003,$B$6,Item!$E$2:$E$1003,$A14)</f>
        <v>980.439258750858</v>
      </c>
      <c r="F14" s="5">
        <f>E14*G14</f>
        <v>14285</v>
      </c>
      <c r="G14">
        <v>14.57</v>
      </c>
      <c r="H14" s="6">
        <f>B14*G14</f>
        <v>28563.6</v>
      </c>
      <c r="I14" s="7"/>
      <c r="J14" s="7"/>
    </row>
    <row r="15" spans="1:10">
      <c r="A15" t="s">
        <v>564</v>
      </c>
      <c r="B15" s="7">
        <f>B13/(B13+1000)</f>
        <v>0.69980735839114</v>
      </c>
      <c r="C15" s="5"/>
      <c r="D15" s="5">
        <f>C15*G15</f>
        <v>0</v>
      </c>
      <c r="E15" s="6"/>
      <c r="F15" s="5"/>
      <c r="H15" s="6"/>
      <c r="I15" s="7"/>
      <c r="J15" s="7"/>
    </row>
    <row r="16" spans="1:10">
      <c r="A16" t="s">
        <v>688</v>
      </c>
      <c r="B16" s="7">
        <f>B14/(B14+1000)</f>
        <v>0.662212289259417</v>
      </c>
      <c r="C16" s="5"/>
      <c r="D16" s="5">
        <f>C16*G16</f>
        <v>0</v>
      </c>
      <c r="E16" s="6"/>
      <c r="F16" s="5"/>
      <c r="H16" s="6"/>
      <c r="I16" s="7"/>
      <c r="J16" s="7"/>
    </row>
    <row r="17" spans="1:10">
      <c r="A17" t="s">
        <v>482</v>
      </c>
      <c r="B17" s="8">
        <f t="shared" ref="B17:B27" si="0">SUM(C17,E17)</f>
        <v>1</v>
      </c>
      <c r="C17" s="8">
        <v>1</v>
      </c>
      <c r="D17" s="5">
        <f>C17*G17*100</f>
        <v>17400</v>
      </c>
      <c r="E17" s="9">
        <f>SUMIFS(Item!$F$2:$F$1003,Item!$A$2:$A$1003,$B$3,Item!$E$2:$E$1003,$A17)+SUMIFS(Item!$F$2:$F$1003,Item!$A$2:$A$1003,$B$4,Item!$E$2:$E$1003,$A17)+SUMIFS(Item!$F$2:$F$1003,Item!$A$2:$A$1003,$B$5,Item!$E$2:$E$1003,$A17)+SUMIFS(Item!$F$2:$F$1003,Item!$A$2:$A$1003,$B$6,Item!$E$2:$E$1003,$A17)</f>
        <v>0</v>
      </c>
      <c r="F17" s="5">
        <f t="shared" ref="F17:F20" si="1">E17*G17*100</f>
        <v>0</v>
      </c>
      <c r="G17">
        <v>174</v>
      </c>
      <c r="H17" s="6">
        <f t="shared" ref="H17:H20" si="2">B17*G17*100</f>
        <v>17400</v>
      </c>
      <c r="J17" s="6"/>
    </row>
    <row r="18" spans="1:10">
      <c r="A18" t="s">
        <v>689</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 t="shared" si="1"/>
        <v>0</v>
      </c>
      <c r="G18">
        <v>174</v>
      </c>
      <c r="H18" s="6">
        <f t="shared" si="2"/>
        <v>0</v>
      </c>
      <c r="J18" s="7"/>
    </row>
    <row r="19" spans="1:8">
      <c r="A19" t="s">
        <v>474</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 t="shared" si="1"/>
        <v>0</v>
      </c>
      <c r="G19">
        <v>174</v>
      </c>
      <c r="H19" s="6">
        <f t="shared" si="2"/>
        <v>0</v>
      </c>
    </row>
    <row r="20" spans="1:10">
      <c r="A20" t="s">
        <v>478</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 t="shared" si="1"/>
        <v>0</v>
      </c>
      <c r="G20">
        <v>34.74</v>
      </c>
      <c r="H20" s="6">
        <f t="shared" si="2"/>
        <v>0</v>
      </c>
      <c r="J20" s="71"/>
    </row>
    <row r="21" spans="1:8">
      <c r="A21" t="s">
        <v>109</v>
      </c>
      <c r="B21" s="5">
        <f t="shared" si="0"/>
        <v>70</v>
      </c>
      <c r="C21" s="5">
        <v>80</v>
      </c>
      <c r="D21" s="5">
        <f>C21*G21</f>
        <v>40000</v>
      </c>
      <c r="E21" s="6">
        <f>SUMIFS(Item!$F$2:$F$1003,Item!$A$2:$A$1003,$B$3,Item!$E$2:$E$1003,$A21)+SUMIFS(Item!$F$2:$F$1003,Item!$A$2:$A$1003,$B$4,Item!$E$2:$E$1003,$A21)+SUMIFS(Item!$F$2:$F$1003,Item!$A$2:$A$1003,$B$5,Item!$E$2:$E$1003,$A21)+SUMIFS(Item!$F$2:$F$1003,Item!$A$2:$A$1003,$B$6,Item!$E$2:$E$1003,$A21)</f>
        <v>-10</v>
      </c>
      <c r="F21" s="5">
        <f t="shared" ref="F21:F24" si="3">E21*G21</f>
        <v>-5000</v>
      </c>
      <c r="G21">
        <v>500</v>
      </c>
      <c r="H21" s="6">
        <f t="shared" ref="H21:H24" si="4">B21*G21</f>
        <v>35000</v>
      </c>
    </row>
    <row r="22" spans="1:9">
      <c r="A22" t="s">
        <v>502</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 t="shared" si="3"/>
        <v>0</v>
      </c>
      <c r="G22">
        <v>1850</v>
      </c>
      <c r="H22" s="6">
        <f t="shared" si="4"/>
        <v>7400</v>
      </c>
      <c r="I22" s="6"/>
    </row>
    <row r="23" spans="1:8">
      <c r="A23" t="s">
        <v>691</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 t="shared" si="3"/>
        <v>0</v>
      </c>
      <c r="G23">
        <v>9600</v>
      </c>
      <c r="H23" s="6">
        <f t="shared" si="4"/>
        <v>0</v>
      </c>
    </row>
    <row r="24" spans="1:9">
      <c r="A24" t="s">
        <v>692</v>
      </c>
      <c r="B24" s="5">
        <f t="shared" si="0"/>
        <v>14</v>
      </c>
      <c r="C24" s="5">
        <v>10</v>
      </c>
      <c r="D24" s="5">
        <f>C24*G24</f>
        <v>15260</v>
      </c>
      <c r="E24" s="6">
        <f>SUMIFS(Item!$F$2:$F$1003,Item!$A$2:$A$1003,$B$3,Item!$E$2:$E$1003,$A24)+SUMIFS(Item!$F$2:$F$1003,Item!$A$2:$A$1003,$B$4,Item!$E$2:$E$1003,$A24)+SUMIFS(Item!$F$2:$F$1003,Item!$A$2:$A$1003,$B$5,Item!$E$2:$E$1003,$A24)+SUMIFS(Item!$F$2:$F$1003,Item!$A$2:$A$1003,$B$6,Item!$E$2:$E$1003,$A24)</f>
        <v>4</v>
      </c>
      <c r="F24" s="5">
        <f t="shared" si="3"/>
        <v>6104</v>
      </c>
      <c r="G24">
        <v>1526</v>
      </c>
      <c r="H24" s="6">
        <f t="shared" si="4"/>
        <v>21364</v>
      </c>
      <c r="I24" s="6"/>
    </row>
    <row r="25" spans="1:8">
      <c r="A25" t="s">
        <v>486</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 t="shared" ref="F25:F27" si="5">E25*G25*100</f>
        <v>0</v>
      </c>
      <c r="G25">
        <v>209.33</v>
      </c>
      <c r="H25" s="6">
        <f t="shared" ref="H25:H27" si="6">B25*G25*100</f>
        <v>20933</v>
      </c>
    </row>
    <row r="26" spans="1:8">
      <c r="A26" t="s">
        <v>490</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 t="shared" si="5"/>
        <v>0</v>
      </c>
      <c r="G26">
        <v>209.33</v>
      </c>
      <c r="H26" s="6">
        <f t="shared" si="6"/>
        <v>0</v>
      </c>
    </row>
    <row r="27" spans="1:8">
      <c r="A27" t="s">
        <v>494</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 t="shared" si="5"/>
        <v>0</v>
      </c>
      <c r="G27">
        <v>291.54</v>
      </c>
      <c r="H27" s="6">
        <f t="shared" si="6"/>
        <v>0</v>
      </c>
    </row>
    <row r="28" spans="1:8">
      <c r="A28" s="10" t="s">
        <v>701</v>
      </c>
      <c r="B28" s="10"/>
      <c r="C28" s="10"/>
      <c r="D28" s="11">
        <f>SUM(D9:D27)</f>
        <v>170879.4</v>
      </c>
      <c r="E28" s="12"/>
      <c r="F28" s="11">
        <f>SUM(F9:F27)</f>
        <v>64200</v>
      </c>
      <c r="H28" s="11">
        <f>SUM(H9:H27)</f>
        <v>235079.4</v>
      </c>
    </row>
    <row r="29" spans="1:11">
      <c r="A29" t="s">
        <v>1034</v>
      </c>
      <c r="D29" s="12">
        <f>'Balanced Dummy '!D22-D28</f>
        <v>-0.399999999994179</v>
      </c>
      <c r="E29" s="12"/>
      <c r="F29" s="12"/>
      <c r="K29" s="25"/>
    </row>
    <row r="30" spans="4:11">
      <c r="D30" s="12"/>
      <c r="E30" s="12"/>
      <c r="F30" s="12"/>
      <c r="K30" s="25"/>
    </row>
    <row r="31" s="22" customFormat="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s="22" customFormat="1" spans="1:12">
      <c r="A32" s="13" t="s">
        <v>1039</v>
      </c>
      <c r="B32" s="13">
        <v>100</v>
      </c>
      <c r="C32" s="13">
        <v>8171</v>
      </c>
      <c r="D32" s="13">
        <v>3</v>
      </c>
      <c r="E32" s="13" t="s">
        <v>1040</v>
      </c>
      <c r="F32" s="13" t="s">
        <v>848</v>
      </c>
      <c r="G32" s="13" t="s">
        <v>1041</v>
      </c>
      <c r="H32" s="13"/>
      <c r="I32" s="13" t="s">
        <v>464</v>
      </c>
      <c r="J32" s="13" t="s">
        <v>1042</v>
      </c>
      <c r="K32" s="13">
        <f>1.654*1000*5</f>
        <v>8270</v>
      </c>
      <c r="L32" s="72">
        <f>9270*(8270/5800)*1.25</f>
        <v>16522.1767241379</v>
      </c>
    </row>
    <row r="33" s="22" customFormat="1" spans="1:12">
      <c r="A33" s="13"/>
      <c r="B33" s="13"/>
      <c r="C33" s="13"/>
      <c r="D33" s="13"/>
      <c r="E33" s="13"/>
      <c r="F33" s="13"/>
      <c r="G33" s="13"/>
      <c r="H33" s="13"/>
      <c r="I33" s="13" t="s">
        <v>924</v>
      </c>
      <c r="J33" s="13">
        <v>1</v>
      </c>
      <c r="K33" s="28"/>
      <c r="L33" s="72"/>
    </row>
    <row r="34" s="22" customFormat="1" spans="1:12">
      <c r="A34" s="13"/>
      <c r="B34" s="13"/>
      <c r="C34" s="13"/>
      <c r="D34" s="13"/>
      <c r="E34" s="13"/>
      <c r="F34" s="13"/>
      <c r="G34" s="13"/>
      <c r="H34" s="13"/>
      <c r="I34" s="16" t="s">
        <v>1043</v>
      </c>
      <c r="J34" s="62">
        <v>0.5</v>
      </c>
      <c r="K34" s="28">
        <v>0.5</v>
      </c>
      <c r="L34" s="72"/>
    </row>
    <row r="35" s="22" customFormat="1" ht="45" spans="1:12">
      <c r="A35" s="16" t="s">
        <v>1044</v>
      </c>
      <c r="B35" s="16">
        <v>150</v>
      </c>
      <c r="C35" s="15">
        <v>5166</v>
      </c>
      <c r="D35" s="16">
        <v>8</v>
      </c>
      <c r="E35" s="16" t="s">
        <v>1045</v>
      </c>
      <c r="F35" s="16" t="s">
        <v>855</v>
      </c>
      <c r="G35" s="16" t="s">
        <v>849</v>
      </c>
      <c r="H35" s="16">
        <v>4</v>
      </c>
      <c r="I35" s="16" t="s">
        <v>519</v>
      </c>
      <c r="J35" s="16" t="s">
        <v>1046</v>
      </c>
      <c r="K35" s="16">
        <f>1.654*1000*40%*5</f>
        <v>3308</v>
      </c>
      <c r="L35" s="27">
        <f>8270+8270*80%</f>
        <v>14886</v>
      </c>
    </row>
    <row r="36" s="22" customFormat="1" ht="42" customHeight="1" spans="1:12">
      <c r="A36" s="16" t="s">
        <v>1047</v>
      </c>
      <c r="B36" s="16" t="s">
        <v>1048</v>
      </c>
      <c r="C36" s="16">
        <f>4000/4</f>
        <v>1000</v>
      </c>
      <c r="D36" s="16">
        <v>2</v>
      </c>
      <c r="E36" s="16" t="s">
        <v>1049</v>
      </c>
      <c r="F36" s="16" t="s">
        <v>1050</v>
      </c>
      <c r="G36" s="16" t="s">
        <v>1050</v>
      </c>
      <c r="H36" s="16">
        <v>2</v>
      </c>
      <c r="I36" s="16" t="s">
        <v>519</v>
      </c>
      <c r="J36" s="16" t="s">
        <v>1046</v>
      </c>
      <c r="K36" s="16">
        <f>1.654*1000*40%*5</f>
        <v>3308</v>
      </c>
      <c r="L36" s="27"/>
    </row>
    <row r="37" s="22" customFormat="1" ht="42" customHeight="1" spans="1:12">
      <c r="A37" s="16"/>
      <c r="B37" s="16"/>
      <c r="C37" s="16"/>
      <c r="D37" s="16"/>
      <c r="E37" s="16"/>
      <c r="F37" s="16"/>
      <c r="G37" s="16"/>
      <c r="H37" s="16"/>
      <c r="I37" s="16" t="s">
        <v>1051</v>
      </c>
      <c r="J37" s="16" t="s">
        <v>1052</v>
      </c>
      <c r="K37" s="47">
        <f>2%*5</f>
        <v>0.1</v>
      </c>
      <c r="L37" s="27"/>
    </row>
    <row r="38" s="22" customFormat="1" spans="1:12">
      <c r="A38" s="16" t="s">
        <v>1053</v>
      </c>
      <c r="B38" s="16" t="s">
        <v>194</v>
      </c>
      <c r="C38" s="16">
        <v>0</v>
      </c>
      <c r="D38" s="16">
        <v>0</v>
      </c>
      <c r="E38" s="16" t="s">
        <v>1054</v>
      </c>
      <c r="F38" s="16" t="s">
        <v>1055</v>
      </c>
      <c r="G38" s="16" t="s">
        <v>1055</v>
      </c>
      <c r="H38" s="16"/>
      <c r="I38" s="16" t="s">
        <v>1056</v>
      </c>
      <c r="J38" s="16" t="s">
        <v>1057</v>
      </c>
      <c r="K38" s="47">
        <f t="shared" ref="K38:K42" si="7">8%*5</f>
        <v>0.4</v>
      </c>
      <c r="L38" s="27"/>
    </row>
    <row r="39" s="22" customFormat="1" spans="1:12">
      <c r="A39" s="16"/>
      <c r="B39" s="16"/>
      <c r="C39" s="16"/>
      <c r="D39" s="16"/>
      <c r="E39" s="16"/>
      <c r="F39" s="16"/>
      <c r="G39" s="16"/>
      <c r="H39" s="16"/>
      <c r="I39" s="16" t="s">
        <v>1058</v>
      </c>
      <c r="J39" s="62">
        <v>1.5</v>
      </c>
      <c r="K39" s="54">
        <v>1.5</v>
      </c>
      <c r="L39" s="27"/>
    </row>
    <row r="40" s="22" customFormat="1" spans="1:12">
      <c r="A40" s="16"/>
      <c r="B40" s="16"/>
      <c r="C40" s="16"/>
      <c r="D40" s="16"/>
      <c r="E40" s="16"/>
      <c r="F40" s="16"/>
      <c r="G40" s="16"/>
      <c r="H40" s="16"/>
      <c r="I40" s="16" t="s">
        <v>1059</v>
      </c>
      <c r="J40" s="16" t="s">
        <v>1057</v>
      </c>
      <c r="K40" s="47">
        <f t="shared" si="7"/>
        <v>0.4</v>
      </c>
      <c r="L40" s="27"/>
    </row>
    <row r="41" s="22" customFormat="1" spans="1:12">
      <c r="A41" s="16"/>
      <c r="B41" s="16"/>
      <c r="C41" s="16"/>
      <c r="D41" s="16"/>
      <c r="E41" s="16"/>
      <c r="F41" s="16"/>
      <c r="G41" s="16"/>
      <c r="H41" s="16"/>
      <c r="I41" s="16" t="s">
        <v>1060</v>
      </c>
      <c r="J41" s="62">
        <v>0.72</v>
      </c>
      <c r="K41" s="54">
        <v>0.72</v>
      </c>
      <c r="L41" s="27"/>
    </row>
    <row r="42" s="22" customFormat="1" ht="30" customHeight="1" spans="1:12">
      <c r="A42" s="16" t="s">
        <v>1061</v>
      </c>
      <c r="B42" s="16" t="s">
        <v>194</v>
      </c>
      <c r="C42" s="16">
        <v>0</v>
      </c>
      <c r="D42" s="16" t="s">
        <v>1062</v>
      </c>
      <c r="E42" s="16" t="s">
        <v>1063</v>
      </c>
      <c r="F42" s="16" t="s">
        <v>1055</v>
      </c>
      <c r="G42" s="16" t="s">
        <v>1055</v>
      </c>
      <c r="H42" s="16">
        <v>4</v>
      </c>
      <c r="I42" s="16" t="s">
        <v>1064</v>
      </c>
      <c r="J42" s="16" t="s">
        <v>1065</v>
      </c>
      <c r="K42" s="47">
        <f>20%*5</f>
        <v>1</v>
      </c>
      <c r="L42" s="27"/>
    </row>
    <row r="43" s="22" customFormat="1" ht="30" customHeight="1" spans="1:12">
      <c r="A43" s="16"/>
      <c r="B43" s="16"/>
      <c r="C43" s="16"/>
      <c r="D43" s="16"/>
      <c r="E43" s="16"/>
      <c r="F43" s="16"/>
      <c r="G43" s="16"/>
      <c r="H43" s="16"/>
      <c r="I43" s="16" t="s">
        <v>1066</v>
      </c>
      <c r="J43" s="62">
        <v>1.38</v>
      </c>
      <c r="K43" s="62">
        <v>1.38</v>
      </c>
      <c r="L43" s="27"/>
    </row>
    <row r="44" s="22" customFormat="1" ht="30" customHeight="1" spans="1:12">
      <c r="A44" s="16"/>
      <c r="B44" s="16"/>
      <c r="C44" s="16"/>
      <c r="D44" s="16"/>
      <c r="E44" s="16"/>
      <c r="F44" s="16"/>
      <c r="G44" s="16"/>
      <c r="H44" s="16"/>
      <c r="I44" s="16" t="s">
        <v>1067</v>
      </c>
      <c r="J44" s="16" t="s">
        <v>1065</v>
      </c>
      <c r="K44" s="47">
        <f>20%*5</f>
        <v>1</v>
      </c>
      <c r="L44" s="27"/>
    </row>
    <row r="45" s="22" customFormat="1" ht="30" customHeight="1" spans="1:12">
      <c r="A45" s="16"/>
      <c r="B45" s="16"/>
      <c r="C45" s="16"/>
      <c r="D45" s="16"/>
      <c r="E45" s="16"/>
      <c r="F45" s="16"/>
      <c r="G45" s="16"/>
      <c r="H45" s="16"/>
      <c r="I45" s="16" t="s">
        <v>1068</v>
      </c>
      <c r="J45" s="62">
        <v>2.9</v>
      </c>
      <c r="K45" s="62">
        <v>2.9</v>
      </c>
      <c r="L45" s="27"/>
    </row>
    <row r="47" s="22" customFormat="1" ht="60" spans="1:10">
      <c r="A47" s="16" t="s">
        <v>1069</v>
      </c>
      <c r="B47" s="16" t="s">
        <v>1070</v>
      </c>
      <c r="C47" s="16" t="s">
        <v>1071</v>
      </c>
      <c r="D47" s="16" t="s">
        <v>1072</v>
      </c>
      <c r="E47" s="56" t="s">
        <v>1073</v>
      </c>
      <c r="F47" s="57" t="s">
        <v>1074</v>
      </c>
      <c r="G47" s="56" t="s">
        <v>1075</v>
      </c>
      <c r="H47" s="58" t="s">
        <v>1076</v>
      </c>
      <c r="I47" s="27"/>
      <c r="J47" s="22">
        <f>8000-5000-2486</f>
        <v>514</v>
      </c>
    </row>
    <row r="48" s="22" customFormat="1" ht="45" spans="1:9">
      <c r="A48" s="16"/>
      <c r="B48" s="16"/>
      <c r="C48" s="16"/>
      <c r="D48" s="16"/>
      <c r="E48" s="56" t="s">
        <v>1077</v>
      </c>
      <c r="F48" s="56" t="s">
        <v>1078</v>
      </c>
      <c r="G48" s="56" t="s">
        <v>1079</v>
      </c>
      <c r="H48" s="56" t="s">
        <v>1080</v>
      </c>
      <c r="I48" s="27"/>
    </row>
    <row r="49" s="22" customFormat="1" ht="45" spans="1:9">
      <c r="A49" s="16" t="s">
        <v>1081</v>
      </c>
      <c r="B49" s="16" t="s">
        <v>1082</v>
      </c>
      <c r="C49" s="16" t="s">
        <v>1083</v>
      </c>
      <c r="D49" s="16" t="s">
        <v>1084</v>
      </c>
      <c r="E49" s="56" t="s">
        <v>1085</v>
      </c>
      <c r="F49" s="56" t="s">
        <v>1086</v>
      </c>
      <c r="G49" s="57" t="s">
        <v>1087</v>
      </c>
      <c r="H49" s="58" t="s">
        <v>1088</v>
      </c>
      <c r="I49" s="57" t="s">
        <v>1089</v>
      </c>
    </row>
    <row r="50" s="22" customFormat="1" ht="45" spans="1:9">
      <c r="A50" s="16"/>
      <c r="B50" s="16"/>
      <c r="C50" s="16"/>
      <c r="D50" s="16"/>
      <c r="E50" s="56" t="s">
        <v>1090</v>
      </c>
      <c r="F50" s="56" t="s">
        <v>1091</v>
      </c>
      <c r="G50" s="50"/>
      <c r="H50" s="16"/>
      <c r="I50" s="50"/>
    </row>
    <row r="51" ht="30" spans="1:9">
      <c r="A51" s="16"/>
      <c r="B51" s="16"/>
      <c r="C51" s="16"/>
      <c r="D51" s="16"/>
      <c r="E51" s="56" t="s">
        <v>1092</v>
      </c>
      <c r="F51" s="70"/>
      <c r="G51" s="70"/>
      <c r="H51" s="70"/>
      <c r="I51" s="70"/>
    </row>
  </sheetData>
  <mergeCells count="41">
    <mergeCell ref="A32:A34"/>
    <mergeCell ref="A36:A37"/>
    <mergeCell ref="A38:A41"/>
    <mergeCell ref="A42:A45"/>
    <mergeCell ref="A47:A48"/>
    <mergeCell ref="A49:A51"/>
    <mergeCell ref="B32:B34"/>
    <mergeCell ref="B36:B37"/>
    <mergeCell ref="B38:B41"/>
    <mergeCell ref="B42:B45"/>
    <mergeCell ref="B47:B48"/>
    <mergeCell ref="B49:B51"/>
    <mergeCell ref="C32:C34"/>
    <mergeCell ref="C36:C37"/>
    <mergeCell ref="C38:C41"/>
    <mergeCell ref="C42:C45"/>
    <mergeCell ref="C47:C48"/>
    <mergeCell ref="C49:C51"/>
    <mergeCell ref="D32:D34"/>
    <mergeCell ref="D36:D37"/>
    <mergeCell ref="D38:D41"/>
    <mergeCell ref="D42:D45"/>
    <mergeCell ref="D47:D48"/>
    <mergeCell ref="D49:D51"/>
    <mergeCell ref="E32:E34"/>
    <mergeCell ref="E36:E37"/>
    <mergeCell ref="E38:E41"/>
    <mergeCell ref="E42:E45"/>
    <mergeCell ref="F32:F34"/>
    <mergeCell ref="F36:F37"/>
    <mergeCell ref="F38:F41"/>
    <mergeCell ref="F42:F45"/>
    <mergeCell ref="G32:G34"/>
    <mergeCell ref="G36:G37"/>
    <mergeCell ref="G38:G41"/>
    <mergeCell ref="G42:G45"/>
    <mergeCell ref="H32:H34"/>
    <mergeCell ref="H36:H37"/>
    <mergeCell ref="H38:H41"/>
    <mergeCell ref="H42:H45"/>
    <mergeCell ref="L32:L34"/>
  </mergeCells>
  <pageMargins left="0.7" right="0.7" top="0.75" bottom="0.75" header="0.3" footer="0.3"/>
  <headerFooter/>
  <ignoredErrors>
    <ignoredError sqref="B12" formula="1"/>
  </ignoredError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2"/>
  <sheetViews>
    <sheetView topLeftCell="A23" workbookViewId="0">
      <selection activeCell="L31" sqref="L31"/>
    </sheetView>
  </sheetViews>
  <sheetFormatPr defaultColWidth="9.14285714285714" defaultRowHeight="15"/>
  <cols>
    <col min="1" max="1" width="22.5714285714286" customWidth="1"/>
    <col min="2" max="2" width="18.8571428571429" customWidth="1"/>
    <col min="3" max="3" width="24.5714285714286" customWidth="1"/>
    <col min="4" max="4" width="15.4285714285714" customWidth="1"/>
    <col min="5" max="5" width="34.7142857142857" customWidth="1"/>
    <col min="6" max="6" width="27.4285714285714" customWidth="1"/>
    <col min="7" max="7" width="21.8571428571429" customWidth="1"/>
    <col min="8" max="8" width="19.8571428571429" customWidth="1"/>
    <col min="9" max="9" width="20.2857142857143" customWidth="1"/>
    <col min="10" max="10" width="14.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1093</v>
      </c>
    </row>
    <row r="2" spans="1:2">
      <c r="A2" t="s">
        <v>1024</v>
      </c>
      <c r="B2" t="s">
        <v>1094</v>
      </c>
    </row>
    <row r="3" spans="1:2">
      <c r="A3" t="s">
        <v>1026</v>
      </c>
      <c r="B3" s="1" t="s">
        <v>850</v>
      </c>
    </row>
    <row r="4" spans="1:2">
      <c r="A4" t="s">
        <v>1027</v>
      </c>
      <c r="B4" t="s">
        <v>1095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61234</v>
      </c>
      <c r="C9" s="5">
        <v>36000</v>
      </c>
      <c r="D9" s="5">
        <f>C9*G9</f>
        <v>36000</v>
      </c>
      <c r="E9" s="6">
        <f>SUMIFS(Item!$F$2:$F$1003,Item!$A$2:$A$1003,$B$3,Item!$E$2:$E$1003,$A9)+SUMIFS(Item!$F$2:$F$1003,Item!$A$2:$A$1003,$B$4,Item!$E$2:$E$1003,$A9)+SUMIFS(Item!$F$2:$F$1003,Item!$A$2:$A$1003,$B$5,Item!$E$2:$E$1003,$A9)+SUMIFS(Item!$F$2:$F$1003,Item!$A$2:$A$1003,$B$6,Item!$E$2:$E$1003,$A9)</f>
        <v>25234</v>
      </c>
      <c r="F9" s="5">
        <f>E9*G9</f>
        <v>25234</v>
      </c>
      <c r="G9">
        <v>1</v>
      </c>
      <c r="H9" s="6">
        <f>B9*G9</f>
        <v>61234</v>
      </c>
    </row>
    <row r="10" spans="1:8">
      <c r="A10" t="s">
        <v>452</v>
      </c>
      <c r="B10" s="5">
        <f>SUM(C10,E10)</f>
        <v>29530</v>
      </c>
      <c r="C10" s="5">
        <v>9000</v>
      </c>
      <c r="D10" s="5">
        <f>C10*G10</f>
        <v>1800</v>
      </c>
      <c r="E10" s="6">
        <f>SUMIFS(Item!$F$2:$F$1003,Item!$A$2:$A$1003,$B$3,Item!$E$2:$E$1003,$A10)+SUMIFS(Item!$F$2:$F$1003,Item!$A$2:$A$1003,$B$4,Item!$E$2:$E$1003,$A10)+SUMIFS(Item!$F$2:$F$1003,Item!$A$2:$A$1003,$B$5,Item!$E$2:$E$1003,$A10)+SUMIFS(Item!$F$2:$F$1003,Item!$A$2:$A$1003,$B$6,Item!$E$2:$E$1003,$A10)</f>
        <v>20530</v>
      </c>
      <c r="F10" s="5">
        <f>E10*G10</f>
        <v>4106</v>
      </c>
      <c r="G10">
        <v>0.2</v>
      </c>
      <c r="H10" s="6">
        <f>B10*G10</f>
        <v>5906</v>
      </c>
    </row>
    <row r="11" spans="1:8">
      <c r="A11" t="s">
        <v>455</v>
      </c>
      <c r="B11" s="5">
        <f>SUM(C11,E11)</f>
        <v>4353.74280230327</v>
      </c>
      <c r="C11" s="5">
        <f>28746/G11</f>
        <v>2758.73320537428</v>
      </c>
      <c r="D11" s="5">
        <f>C11*G11</f>
        <v>28746</v>
      </c>
      <c r="E11" s="6">
        <f>SUMIFS(Item!$F$2:$F$1003,Item!$A$2:$A$1003,$B$3,Item!$E$2:$E$1003,$A11)+SUMIFS(Item!$F$2:$F$1003,Item!$A$2:$A$1003,$B$4,Item!$E$2:$E$1003,$A11)+SUMIFS(Item!$F$2:$F$1003,Item!$A$2:$A$1003,$B$5,Item!$E$2:$E$1003,$A11)+SUMIFS(Item!$F$2:$F$1003,Item!$A$2:$A$1003,$B$6,Item!$E$2:$E$1003,$A11)</f>
        <v>1595.00959692899</v>
      </c>
      <c r="F11" s="5">
        <f>E11*G11</f>
        <v>16620</v>
      </c>
      <c r="G11">
        <v>10.42</v>
      </c>
      <c r="H11" s="6">
        <f>B11*G11</f>
        <v>45366</v>
      </c>
    </row>
    <row r="12" customFormat="1" spans="1:11">
      <c r="A12" t="s">
        <v>1033</v>
      </c>
      <c r="B12" s="5">
        <f>B11*B17*(1+B19*B20)</f>
        <v>5224.49136276392</v>
      </c>
      <c r="C12" s="5"/>
      <c r="D12" s="5"/>
      <c r="E12" s="6"/>
      <c r="F12" s="5"/>
      <c r="H12" s="6"/>
      <c r="K12" s="7"/>
    </row>
    <row r="13" spans="1:8">
      <c r="A13" t="s">
        <v>459</v>
      </c>
      <c r="B13" s="5">
        <f>SUM(C13,E13)</f>
        <v>1442.76978417266</v>
      </c>
      <c r="C13" s="5">
        <v>655</v>
      </c>
      <c r="D13" s="5">
        <f>C13*G13</f>
        <v>4552.25</v>
      </c>
      <c r="E13" s="6">
        <f>SUMIFS(Item!$F$2:$F$1003,Item!$A$2:$A$1003,$B$3,Item!$E$2:$E$1003,$A13)+SUMIFS(Item!$F$2:$F$1003,Item!$A$2:$A$1003,$B$4,Item!$E$2:$E$1003,$A13)+SUMIFS(Item!$F$2:$F$1003,Item!$A$2:$A$1003,$B$5,Item!$E$2:$E$1003,$A13)+SUMIFS(Item!$F$2:$F$1003,Item!$A$2:$A$1003,$B$6,Item!$E$2:$E$1003,$A13)</f>
        <v>787.769784172662</v>
      </c>
      <c r="F13" s="5">
        <f>E13*G13</f>
        <v>5475</v>
      </c>
      <c r="G13">
        <v>6.95</v>
      </c>
      <c r="H13" s="6">
        <f>B13*G13</f>
        <v>10027.25</v>
      </c>
    </row>
    <row r="14" spans="1:8">
      <c r="A14" t="s">
        <v>467</v>
      </c>
      <c r="B14" s="5">
        <f>SUM(C14,E14)</f>
        <v>897.268359643102</v>
      </c>
      <c r="C14" s="5">
        <v>260</v>
      </c>
      <c r="D14" s="5">
        <f>C14*G14</f>
        <v>3788.2</v>
      </c>
      <c r="E14" s="6">
        <f>SUMIFS(Item!$F$2:$F$1003,Item!$A$2:$A$1003,$B$3,Item!$E$2:$E$1003,$A14)+SUMIFS(Item!$F$2:$F$1003,Item!$A$2:$A$1003,$B$4,Item!$E$2:$E$1003,$A14)+SUMIFS(Item!$F$2:$F$1003,Item!$A$2:$A$1003,$B$5,Item!$E$2:$E$1003,$A14)+SUMIFS(Item!$F$2:$F$1003,Item!$A$2:$A$1003,$B$6,Item!$E$2:$E$1003,$A14)</f>
        <v>637.268359643102</v>
      </c>
      <c r="F14" s="5">
        <f>E14*G14</f>
        <v>9285</v>
      </c>
      <c r="G14">
        <v>14.57</v>
      </c>
      <c r="H14" s="6">
        <f>B14*G14</f>
        <v>13073.2</v>
      </c>
    </row>
    <row r="15" spans="1:10">
      <c r="A15" t="s">
        <v>564</v>
      </c>
      <c r="B15" s="7">
        <f>B13/(B13+1000)</f>
        <v>0.590628635379699</v>
      </c>
      <c r="C15" s="5"/>
      <c r="D15" s="5"/>
      <c r="E15" s="6"/>
      <c r="F15" s="5"/>
      <c r="H15" s="6"/>
      <c r="J15" s="7"/>
    </row>
    <row r="16" spans="1:10">
      <c r="A16" t="s">
        <v>688</v>
      </c>
      <c r="B16" s="7">
        <f>B14/(B14+1000)</f>
        <v>0.472926433987382</v>
      </c>
      <c r="C16" s="5"/>
      <c r="D16" s="5"/>
      <c r="E16" s="6"/>
      <c r="F16" s="5"/>
      <c r="H16" s="6"/>
      <c r="J16" s="7"/>
    </row>
    <row r="17" spans="1:8">
      <c r="A17" t="s">
        <v>482</v>
      </c>
      <c r="B17" s="8">
        <f t="shared" ref="B17:B27" si="0">SUM(C17,E17)</f>
        <v>1.2</v>
      </c>
      <c r="C17" s="8">
        <v>1</v>
      </c>
      <c r="D17" s="5">
        <f>C17*G17*100</f>
        <v>17400</v>
      </c>
      <c r="E17" s="9">
        <f>SUMIFS(Item!$F$2:$F$1003,Item!$A$2:$A$1003,$B$3,Item!$E$2:$E$1003,$A17)+SUMIFS(Item!$F$2:$F$1003,Item!$A$2:$A$1003,$B$4,Item!$E$2:$E$1003,$A17)+SUMIFS(Item!$F$2:$F$1003,Item!$A$2:$A$1003,$B$5,Item!$E$2:$E$1003,$A17)+SUMIFS(Item!$F$2:$F$1003,Item!$A$2:$A$1003,$B$6,Item!$E$2:$E$1003,$A17)</f>
        <v>0.2</v>
      </c>
      <c r="F17" s="5">
        <f>E17*G17*100</f>
        <v>3480</v>
      </c>
      <c r="G17">
        <v>174</v>
      </c>
      <c r="H17" s="6">
        <f>B17*G17*100</f>
        <v>20880</v>
      </c>
    </row>
    <row r="18" spans="1:8">
      <c r="A18" t="s">
        <v>689</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B18*G18*100</f>
        <v>0</v>
      </c>
    </row>
    <row r="19" spans="1:8">
      <c r="A19" t="s">
        <v>474</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E19*G19*100</f>
        <v>0</v>
      </c>
      <c r="G19">
        <v>174</v>
      </c>
      <c r="H19" s="6">
        <f>B19*G19*100</f>
        <v>0</v>
      </c>
    </row>
    <row r="20" spans="1:8">
      <c r="A20" t="s">
        <v>478</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E20*G20*100</f>
        <v>0</v>
      </c>
      <c r="G20">
        <v>34.74</v>
      </c>
      <c r="H20" s="6">
        <f>B20*G20*100</f>
        <v>0</v>
      </c>
    </row>
    <row r="21" spans="1:8">
      <c r="A21" t="s">
        <v>109</v>
      </c>
      <c r="B21" s="5">
        <f t="shared" si="0"/>
        <v>70</v>
      </c>
      <c r="C21" s="5">
        <v>70</v>
      </c>
      <c r="D21" s="5">
        <f>C21*G21</f>
        <v>35000</v>
      </c>
      <c r="E21" s="6">
        <f>SUMIFS(Item!$F$2:$F$1003,Item!$A$2:$A$1003,$B$3,Item!$E$2:$E$1003,$A21)+SUMIFS(Item!$F$2:$F$1003,Item!$A$2:$A$1003,$B$4,Item!$E$2:$E$1003,$A21)+SUMIFS(Item!$F$2:$F$1003,Item!$A$2:$A$1003,$B$5,Item!$E$2:$E$1003,$A21)+SUMIFS(Item!$F$2:$F$1003,Item!$A$2:$A$1003,$B$6,Item!$E$2:$E$1003,$A21)</f>
        <v>0</v>
      </c>
      <c r="F21" s="5">
        <f>E21*G21</f>
        <v>0</v>
      </c>
      <c r="G21">
        <v>500</v>
      </c>
      <c r="H21" s="6">
        <f>B21*G21</f>
        <v>35000</v>
      </c>
    </row>
    <row r="22" spans="1:8">
      <c r="A22" t="s">
        <v>502</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E22*G22</f>
        <v>0</v>
      </c>
      <c r="G22">
        <v>1850</v>
      </c>
      <c r="H22" s="6">
        <f>B22*G22</f>
        <v>7400</v>
      </c>
    </row>
    <row r="23" spans="1:8">
      <c r="A23" t="s">
        <v>691</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E23*G23</f>
        <v>0</v>
      </c>
      <c r="G23">
        <v>9600</v>
      </c>
      <c r="H23" s="6">
        <f>B23*G23</f>
        <v>0</v>
      </c>
    </row>
    <row r="24" spans="1:8">
      <c r="A24" t="s">
        <v>692</v>
      </c>
      <c r="B24" s="5">
        <f t="shared" si="0"/>
        <v>10</v>
      </c>
      <c r="C24" s="5">
        <v>10</v>
      </c>
      <c r="D24" s="5">
        <f>C24*G24</f>
        <v>15260</v>
      </c>
      <c r="E24" s="6">
        <f>SUMIFS(Item!$F$2:$F$1003,Item!$A$2:$A$1003,$B$3,Item!$E$2:$E$1003,$A24)+SUMIFS(Item!$F$2:$F$1003,Item!$A$2:$A$1003,$B$4,Item!$E$2:$E$1003,$A24)+SUMIFS(Item!$F$2:$F$1003,Item!$A$2:$A$1003,$B$5,Item!$E$2:$E$1003,$A24)+SUMIFS(Item!$F$2:$F$1003,Item!$A$2:$A$1003,$B$6,Item!$E$2:$E$1003,$A24)</f>
        <v>0</v>
      </c>
      <c r="F24" s="5">
        <f>E24*G24</f>
        <v>0</v>
      </c>
      <c r="G24">
        <v>1526</v>
      </c>
      <c r="H24" s="6">
        <f>B24*G24</f>
        <v>15260</v>
      </c>
    </row>
    <row r="25" spans="1:8">
      <c r="A25" t="s">
        <v>486</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B25*G25*100</f>
        <v>20933</v>
      </c>
    </row>
    <row r="26" spans="1:8">
      <c r="A26" t="s">
        <v>490</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E26*G26*100</f>
        <v>0</v>
      </c>
      <c r="G26">
        <v>209.33</v>
      </c>
      <c r="H26" s="6">
        <f>B26*G26*100</f>
        <v>0</v>
      </c>
    </row>
    <row r="27" spans="1:8">
      <c r="A27" t="s">
        <v>494</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B27*G27*100</f>
        <v>0</v>
      </c>
    </row>
    <row r="28" spans="1:8">
      <c r="A28" s="10" t="s">
        <v>701</v>
      </c>
      <c r="B28" s="10"/>
      <c r="C28" s="10"/>
      <c r="D28" s="11">
        <f>SUM(D9:D27)</f>
        <v>170879.45</v>
      </c>
      <c r="E28" s="12"/>
      <c r="F28" s="11">
        <f>SUM(F9:F27)</f>
        <v>64200</v>
      </c>
      <c r="G28" s="10"/>
      <c r="H28" s="11">
        <f>SUM(H9:H27)</f>
        <v>235079.45</v>
      </c>
    </row>
    <row r="29" spans="1:6">
      <c r="A29" t="s">
        <v>1034</v>
      </c>
      <c r="D29" s="12">
        <f>'Balanced Dummy '!D22-D28</f>
        <v>-0.450000000011642</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35" customHeight="1" spans="1:12">
      <c r="A32" s="13" t="s">
        <v>1096</v>
      </c>
      <c r="B32" s="14">
        <v>150</v>
      </c>
      <c r="C32" s="67">
        <v>7014</v>
      </c>
      <c r="D32" s="14">
        <v>6</v>
      </c>
      <c r="E32" s="14" t="s">
        <v>1097</v>
      </c>
      <c r="F32" s="13" t="s">
        <v>848</v>
      </c>
      <c r="G32" s="13" t="s">
        <v>1098</v>
      </c>
      <c r="H32" s="13">
        <v>3</v>
      </c>
      <c r="I32" s="14" t="s">
        <v>1099</v>
      </c>
      <c r="J32" s="13" t="s">
        <v>1100</v>
      </c>
      <c r="K32" s="14">
        <f>1.16*1000*10%*5</f>
        <v>580</v>
      </c>
      <c r="L32" s="26">
        <f>8270*2+8270*30%*2</f>
        <v>21502</v>
      </c>
    </row>
    <row r="33" ht="35" customHeight="1" spans="1:12">
      <c r="A33" s="13"/>
      <c r="B33" s="14"/>
      <c r="C33" s="67"/>
      <c r="D33" s="14"/>
      <c r="E33" s="14"/>
      <c r="F33" s="13"/>
      <c r="G33" s="13"/>
      <c r="H33" s="13"/>
      <c r="I33" s="13" t="s">
        <v>1101</v>
      </c>
      <c r="J33" s="13" t="s">
        <v>1100</v>
      </c>
      <c r="K33" s="14">
        <f>1.16*1000*10%*5</f>
        <v>580</v>
      </c>
      <c r="L33" s="26"/>
    </row>
    <row r="34" ht="45" spans="1:12">
      <c r="A34" s="13" t="s">
        <v>1102</v>
      </c>
      <c r="B34" s="13">
        <v>250</v>
      </c>
      <c r="C34" s="67">
        <v>6530</v>
      </c>
      <c r="D34" s="13">
        <v>4</v>
      </c>
      <c r="E34" s="13" t="s">
        <v>1103</v>
      </c>
      <c r="F34" s="13" t="s">
        <v>848</v>
      </c>
      <c r="G34" s="13" t="s">
        <v>849</v>
      </c>
      <c r="H34" s="13"/>
      <c r="I34" s="13" t="s">
        <v>464</v>
      </c>
      <c r="J34" s="13" t="s">
        <v>1104</v>
      </c>
      <c r="K34" s="14">
        <f>1.16*1000*300%*5</f>
        <v>17400</v>
      </c>
      <c r="L34" s="46">
        <f>8270*3</f>
        <v>24810</v>
      </c>
    </row>
    <row r="35" ht="54" customHeight="1" spans="1:12">
      <c r="A35" s="13" t="s">
        <v>1105</v>
      </c>
      <c r="B35" s="13" t="s">
        <v>1106</v>
      </c>
      <c r="C35" s="67">
        <f>4000/4</f>
        <v>1000</v>
      </c>
      <c r="D35" s="13">
        <v>2</v>
      </c>
      <c r="E35" s="13" t="s">
        <v>1107</v>
      </c>
      <c r="F35" s="13" t="s">
        <v>1108</v>
      </c>
      <c r="G35" s="13" t="s">
        <v>849</v>
      </c>
      <c r="H35" s="13">
        <v>2</v>
      </c>
      <c r="I35" s="13" t="s">
        <v>1109</v>
      </c>
      <c r="J35" s="13" t="s">
        <v>1110</v>
      </c>
      <c r="K35" s="54">
        <f>10%*5</f>
        <v>0.5</v>
      </c>
      <c r="L35" s="46"/>
    </row>
    <row r="36" ht="54" customHeight="1" spans="1:12">
      <c r="A36" s="13"/>
      <c r="B36" s="13"/>
      <c r="C36" s="67"/>
      <c r="D36" s="13"/>
      <c r="E36" s="13"/>
      <c r="F36" s="13"/>
      <c r="G36" s="13"/>
      <c r="H36" s="13"/>
      <c r="I36" s="13" t="s">
        <v>1111</v>
      </c>
      <c r="J36" s="13" t="s">
        <v>1112</v>
      </c>
      <c r="K36" s="68">
        <f>55%/2/5*5</f>
        <v>0.275</v>
      </c>
      <c r="L36" s="46"/>
    </row>
    <row r="37" ht="54" customHeight="1" spans="1:12">
      <c r="A37" s="13"/>
      <c r="B37" s="13"/>
      <c r="C37" s="67"/>
      <c r="D37" s="13"/>
      <c r="E37" s="13"/>
      <c r="F37" s="13"/>
      <c r="G37" s="13"/>
      <c r="H37" s="13"/>
      <c r="I37" s="13" t="s">
        <v>1051</v>
      </c>
      <c r="J37" s="13" t="s">
        <v>1113</v>
      </c>
      <c r="K37" s="68">
        <f>26%/2/5*5</f>
        <v>0.13</v>
      </c>
      <c r="L37" s="46"/>
    </row>
    <row r="39" ht="60" spans="1:8">
      <c r="A39" s="41" t="s">
        <v>1069</v>
      </c>
      <c r="B39" s="41" t="s">
        <v>1114</v>
      </c>
      <c r="C39" s="41" t="s">
        <v>1115</v>
      </c>
      <c r="D39" s="41" t="s">
        <v>1116</v>
      </c>
      <c r="E39" s="43" t="s">
        <v>1073</v>
      </c>
      <c r="F39" s="43" t="s">
        <v>1117</v>
      </c>
      <c r="G39" s="43" t="s">
        <v>1118</v>
      </c>
      <c r="H39" s="43" t="s">
        <v>1119</v>
      </c>
    </row>
    <row r="40" ht="60" spans="1:11">
      <c r="A40" s="41"/>
      <c r="B40" s="41"/>
      <c r="C40" s="41"/>
      <c r="D40" s="41"/>
      <c r="E40" s="43" t="s">
        <v>1120</v>
      </c>
      <c r="F40" s="43" t="s">
        <v>1121</v>
      </c>
      <c r="G40" s="43" t="s">
        <v>1122</v>
      </c>
      <c r="H40" s="43" t="s">
        <v>1123</v>
      </c>
      <c r="J40" s="25"/>
      <c r="K40" s="7"/>
    </row>
    <row r="41" ht="60" spans="1:10">
      <c r="A41" s="38" t="s">
        <v>1081</v>
      </c>
      <c r="B41" s="38" t="s">
        <v>1124</v>
      </c>
      <c r="C41" s="38" t="s">
        <v>1125</v>
      </c>
      <c r="D41" s="38" t="s">
        <v>1126</v>
      </c>
      <c r="E41" s="40" t="s">
        <v>1127</v>
      </c>
      <c r="F41" s="39" t="s">
        <v>1128</v>
      </c>
      <c r="G41" s="43" t="s">
        <v>1129</v>
      </c>
      <c r="H41" s="43" t="s">
        <v>1130</v>
      </c>
      <c r="I41" s="52"/>
      <c r="J41" s="52"/>
    </row>
    <row r="42" ht="75" spans="1:10">
      <c r="A42" s="45"/>
      <c r="B42" s="45"/>
      <c r="C42" s="45"/>
      <c r="D42" s="45"/>
      <c r="E42" s="43" t="s">
        <v>1131</v>
      </c>
      <c r="F42" s="43" t="s">
        <v>1132</v>
      </c>
      <c r="G42" s="43" t="s">
        <v>1133</v>
      </c>
      <c r="H42" s="43" t="s">
        <v>1134</v>
      </c>
      <c r="I42" s="69"/>
      <c r="J42" s="55"/>
    </row>
  </sheetData>
  <mergeCells count="25">
    <mergeCell ref="A32:A33"/>
    <mergeCell ref="A35:A37"/>
    <mergeCell ref="A39:A40"/>
    <mergeCell ref="A41:A42"/>
    <mergeCell ref="B32:B33"/>
    <mergeCell ref="B35:B37"/>
    <mergeCell ref="B39:B40"/>
    <mergeCell ref="B41:B42"/>
    <mergeCell ref="C32:C33"/>
    <mergeCell ref="C35:C37"/>
    <mergeCell ref="C39:C40"/>
    <mergeCell ref="C41:C42"/>
    <mergeCell ref="D32:D33"/>
    <mergeCell ref="D35:D37"/>
    <mergeCell ref="D39:D40"/>
    <mergeCell ref="D41:D42"/>
    <mergeCell ref="E32:E33"/>
    <mergeCell ref="E35:E37"/>
    <mergeCell ref="F32:F33"/>
    <mergeCell ref="F35:F37"/>
    <mergeCell ref="G32:G33"/>
    <mergeCell ref="G35:G37"/>
    <mergeCell ref="H32:H33"/>
    <mergeCell ref="H35:H37"/>
    <mergeCell ref="L32:L33"/>
  </mergeCells>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22" workbookViewId="0">
      <selection activeCell="L31" sqref="L31"/>
    </sheetView>
  </sheetViews>
  <sheetFormatPr defaultColWidth="9.14285714285714" defaultRowHeight="15"/>
  <cols>
    <col min="1" max="1" width="22.5714285714286" customWidth="1"/>
    <col min="2" max="2" width="16.4285714285714" customWidth="1"/>
    <col min="3" max="3" width="24.5714285714286" customWidth="1"/>
    <col min="4" max="4" width="17.5714285714286" customWidth="1"/>
    <col min="5" max="5" width="39.5714285714286" customWidth="1"/>
    <col min="6" max="6" width="19.5714285714286" customWidth="1"/>
    <col min="7" max="7" width="16.2857142857143" customWidth="1"/>
    <col min="8" max="8" width="29.7142857142857" customWidth="1"/>
    <col min="9" max="9" width="21" customWidth="1"/>
    <col min="10" max="10" width="17.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1135</v>
      </c>
    </row>
    <row r="2" spans="1:2">
      <c r="A2" t="s">
        <v>1024</v>
      </c>
      <c r="B2" t="s">
        <v>1136</v>
      </c>
    </row>
    <row r="3" spans="1:2">
      <c r="A3" t="s">
        <v>1026</v>
      </c>
      <c r="B3" s="1" t="s">
        <v>1137</v>
      </c>
    </row>
    <row r="4" spans="1:2">
      <c r="A4" t="s">
        <v>1027</v>
      </c>
      <c r="B4" s="35" t="s">
        <v>865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 t="shared" ref="B9:B11" si="0">SUM(C9,E9)</f>
        <v>53284</v>
      </c>
      <c r="C9" s="5">
        <v>29000</v>
      </c>
      <c r="D9" s="5">
        <f t="shared" ref="D9:D11" si="1">C9*G9</f>
        <v>29000</v>
      </c>
      <c r="E9" s="6">
        <f>SUMIFS(Item!$F$2:$F$1003,Item!$A$2:$A$1003,$B$3,Item!$E$2:$E$1003,$A9)+SUMIFS(Item!$F$2:$F$1003,Item!$A$2:$A$1003,$B$4,Item!$E$2:$E$1003,$A9)+SUMIFS(Item!$F$2:$F$1003,Item!$A$2:$A$1003,$B$5,Item!$E$2:$E$1003,$A9)+SUMIFS(Item!$F$2:$F$1003,Item!$A$2:$A$1003,$B$6,Item!$E$2:$E$1003,$A9)</f>
        <v>24284</v>
      </c>
      <c r="F9" s="5">
        <f t="shared" ref="F9:F11" si="2">E9*G9</f>
        <v>24284</v>
      </c>
      <c r="G9">
        <v>1</v>
      </c>
      <c r="H9" s="6">
        <f t="shared" ref="H9:H11" si="3">B9*G9</f>
        <v>53284</v>
      </c>
    </row>
    <row r="10" spans="1:8">
      <c r="A10" t="s">
        <v>452</v>
      </c>
      <c r="B10" s="5">
        <f t="shared" si="0"/>
        <v>34550</v>
      </c>
      <c r="C10" s="5">
        <v>14020</v>
      </c>
      <c r="D10" s="5">
        <f t="shared" si="1"/>
        <v>2804</v>
      </c>
      <c r="E10" s="6">
        <f>SUMIFS(Item!$F$2:$F$1003,Item!$A$2:$A$1003,$B$3,Item!$E$2:$E$1003,$A10)+SUMIFS(Item!$F$2:$F$1003,Item!$A$2:$A$1003,$B$4,Item!$E$2:$E$1003,$A10)+SUMIFS(Item!$F$2:$F$1003,Item!$A$2:$A$1003,$B$5,Item!$E$2:$E$1003,$A10)+SUMIFS(Item!$F$2:$F$1003,Item!$A$2:$A$1003,$B$6,Item!$E$2:$E$1003,$A10)</f>
        <v>20530</v>
      </c>
      <c r="F10" s="5">
        <f t="shared" si="2"/>
        <v>4106</v>
      </c>
      <c r="G10">
        <v>0.2</v>
      </c>
      <c r="H10" s="6">
        <f t="shared" si="3"/>
        <v>6910</v>
      </c>
    </row>
    <row r="11" spans="1:8">
      <c r="A11" t="s">
        <v>455</v>
      </c>
      <c r="B11" s="5">
        <f t="shared" si="0"/>
        <v>4656.04606525911</v>
      </c>
      <c r="C11" s="5">
        <f>34206/G11</f>
        <v>3282.72552783109</v>
      </c>
      <c r="D11" s="5">
        <f t="shared" si="1"/>
        <v>34206</v>
      </c>
      <c r="E11" s="6">
        <f>SUMIFS(Item!$F$2:$F$1003,Item!$A$2:$A$1003,$B$3,Item!$E$2:$E$1003,$A11)+SUMIFS(Item!$F$2:$F$1003,Item!$A$2:$A$1003,$B$4,Item!$E$2:$E$1003,$A11)+SUMIFS(Item!$F$2:$F$1003,Item!$A$2:$A$1003,$B$5,Item!$E$2:$E$1003,$A11)+SUMIFS(Item!$F$2:$F$1003,Item!$A$2:$A$1003,$B$6,Item!$E$2:$E$1003,$A11)</f>
        <v>1373.32053742802</v>
      </c>
      <c r="F11" s="5">
        <f t="shared" si="2"/>
        <v>14310</v>
      </c>
      <c r="G11">
        <v>10.42</v>
      </c>
      <c r="H11" s="6">
        <f t="shared" si="3"/>
        <v>48516</v>
      </c>
    </row>
    <row r="12" spans="1:8">
      <c r="A12" t="s">
        <v>1138</v>
      </c>
      <c r="B12" s="5">
        <f>B11*B17*(1+B19*B20)</f>
        <v>7170.31094049904</v>
      </c>
      <c r="C12" s="5"/>
      <c r="D12" s="5"/>
      <c r="E12" s="6"/>
      <c r="F12" s="5"/>
      <c r="H12" s="6"/>
    </row>
    <row r="13" spans="1:8">
      <c r="A13" t="s">
        <v>459</v>
      </c>
      <c r="B13" s="5">
        <f t="shared" ref="B13:B27" si="4">SUM(C13,E13)</f>
        <v>2167.19424460432</v>
      </c>
      <c r="C13" s="5">
        <v>660</v>
      </c>
      <c r="D13" s="5">
        <f>C13*G13</f>
        <v>4587</v>
      </c>
      <c r="E13" s="6">
        <f>SUMIFS(Item!$F$2:$F$1003,Item!$A$2:$A$1003,$B$3,Item!$E$2:$E$1003,$A13)+SUMIFS(Item!$F$2:$F$1003,Item!$A$2:$A$1003,$B$4,Item!$E$2:$E$1003,$A13)+SUMIFS(Item!$F$2:$F$1003,Item!$A$2:$A$1003,$B$5,Item!$E$2:$E$1003,$A13)+SUMIFS(Item!$F$2:$F$1003,Item!$A$2:$A$1003,$B$6,Item!$E$2:$E$1003,$A13)</f>
        <v>1507.19424460432</v>
      </c>
      <c r="F13" s="5">
        <f>E13*G13</f>
        <v>10475</v>
      </c>
      <c r="G13">
        <v>6.95</v>
      </c>
      <c r="H13" s="6">
        <f>B13*G13</f>
        <v>15062</v>
      </c>
    </row>
    <row r="14" spans="1:8">
      <c r="A14" t="s">
        <v>467</v>
      </c>
      <c r="B14" s="5">
        <f t="shared" si="4"/>
        <v>1480.43925875086</v>
      </c>
      <c r="C14" s="5">
        <v>500</v>
      </c>
      <c r="D14" s="5">
        <f>C14*G14</f>
        <v>7285</v>
      </c>
      <c r="E14" s="6">
        <f>SUMIFS(Item!$F$2:$F$1003,Item!$A$2:$A$1003,$B$3,Item!$E$2:$E$1003,$A14)+SUMIFS(Item!$F$2:$F$1003,Item!$A$2:$A$1003,$B$4,Item!$E$2:$E$1003,$A14)+SUMIFS(Item!$F$2:$F$1003,Item!$A$2:$A$1003,$B$5,Item!$E$2:$E$1003,$A14)+SUMIFS(Item!$F$2:$F$1003,Item!$A$2:$A$1003,$B$6,Item!$E$2:$E$1003,$A14)</f>
        <v>980.439258750858</v>
      </c>
      <c r="F14" s="5">
        <f>E14*G14</f>
        <v>14285</v>
      </c>
      <c r="G14">
        <v>14.57</v>
      </c>
      <c r="H14" s="6">
        <f>B14*G14</f>
        <v>21570</v>
      </c>
    </row>
    <row r="15" spans="1:10">
      <c r="A15" t="s">
        <v>564</v>
      </c>
      <c r="B15" s="7">
        <f>B13/(B13+1000)</f>
        <v>0.684263129202254</v>
      </c>
      <c r="C15" s="5"/>
      <c r="D15" s="5"/>
      <c r="E15" s="6"/>
      <c r="F15" s="5"/>
      <c r="H15" s="6"/>
      <c r="J15" s="7"/>
    </row>
    <row r="16" spans="1:10">
      <c r="A16" t="s">
        <v>688</v>
      </c>
      <c r="B16" s="7">
        <f>B14/(B14+1000)</f>
        <v>0.596845600442723</v>
      </c>
      <c r="C16" s="5"/>
      <c r="D16" s="5"/>
      <c r="E16" s="6"/>
      <c r="F16" s="5"/>
      <c r="H16" s="6"/>
      <c r="J16" s="7"/>
    </row>
    <row r="17" spans="1:8">
      <c r="A17" t="s">
        <v>482</v>
      </c>
      <c r="B17" s="8">
        <f t="shared" si="4"/>
        <v>1.4</v>
      </c>
      <c r="C17" s="8">
        <v>1.4</v>
      </c>
      <c r="D17" s="5">
        <f t="shared" ref="D17:D20" si="5">C17*G17*100</f>
        <v>24360</v>
      </c>
      <c r="E17" s="9">
        <f>SUMIFS(Item!$F$2:$F$1003,Item!$A$2:$A$1003,$B$3,Item!$E$2:$E$1003,$A17)+SUMIFS(Item!$F$2:$F$1003,Item!$A$2:$A$1003,$B$4,Item!$E$2:$E$1003,$A17)+SUMIFS(Item!$F$2:$F$1003,Item!$A$2:$A$1003,$B$5,Item!$E$2:$E$1003,$A17)+SUMIFS(Item!$F$2:$F$1003,Item!$A$2:$A$1003,$B$6,Item!$E$2:$E$1003,$A17)</f>
        <v>0</v>
      </c>
      <c r="F17" s="5">
        <f t="shared" ref="F17:F20" si="6">E17*G17*100</f>
        <v>0</v>
      </c>
      <c r="G17">
        <v>174</v>
      </c>
      <c r="H17" s="6">
        <f t="shared" ref="H17:H20" si="7">B17*G17*100</f>
        <v>24360</v>
      </c>
    </row>
    <row r="18" spans="1:8">
      <c r="A18" t="s">
        <v>689</v>
      </c>
      <c r="B18" s="8">
        <f t="shared" si="4"/>
        <v>0</v>
      </c>
      <c r="C18" s="8">
        <v>0</v>
      </c>
      <c r="D18" s="5">
        <f t="shared" si="5"/>
        <v>0</v>
      </c>
      <c r="E18" s="9">
        <f>SUMIFS(Item!$F$2:$F$1003,Item!$A$2:$A$1003,$B$3,Item!$E$2:$E$1003,$A18)+SUMIFS(Item!$F$2:$F$1003,Item!$A$2:$A$1003,$B$4,Item!$E$2:$E$1003,$A18)+SUMIFS(Item!$F$2:$F$1003,Item!$A$2:$A$1003,$B$5,Item!$E$2:$E$1003,$A18)+SUMIFS(Item!$F$2:$F$1003,Item!$A$2:$A$1003,$B$6,Item!$E$2:$E$1003,$A18)</f>
        <v>0</v>
      </c>
      <c r="F18" s="5">
        <f t="shared" si="6"/>
        <v>0</v>
      </c>
      <c r="G18">
        <v>174</v>
      </c>
      <c r="H18" s="6">
        <f t="shared" si="7"/>
        <v>0</v>
      </c>
    </row>
    <row r="19" spans="1:8">
      <c r="A19" t="s">
        <v>474</v>
      </c>
      <c r="B19" s="8">
        <f t="shared" si="4"/>
        <v>0.2</v>
      </c>
      <c r="C19" s="8">
        <v>0.1</v>
      </c>
      <c r="D19" s="5">
        <f t="shared" si="5"/>
        <v>1740</v>
      </c>
      <c r="E19" s="9">
        <f>SUMIFS(Item!$F$2:$F$1003,Item!$A$2:$A$1003,$B$3,Item!$E$2:$E$1003,$A19)+SUMIFS(Item!$F$2:$F$1003,Item!$A$2:$A$1003,$B$4,Item!$E$2:$E$1003,$A19)+SUMIFS(Item!$F$2:$F$1003,Item!$A$2:$A$1003,$B$5,Item!$E$2:$E$1003,$A19)+SUMIFS(Item!$F$2:$F$1003,Item!$A$2:$A$1003,$B$6,Item!$E$2:$E$1003,$A19)</f>
        <v>0.1</v>
      </c>
      <c r="F19" s="5">
        <f t="shared" si="6"/>
        <v>1740</v>
      </c>
      <c r="G19">
        <v>174</v>
      </c>
      <c r="H19" s="6">
        <f t="shared" si="7"/>
        <v>3480</v>
      </c>
    </row>
    <row r="20" spans="1:8">
      <c r="A20" t="s">
        <v>478</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75</v>
      </c>
      <c r="C21" s="5">
        <v>85</v>
      </c>
      <c r="D21" s="5">
        <f t="shared" ref="D21:D24" si="8">C21*G21</f>
        <v>42500</v>
      </c>
      <c r="E21" s="6">
        <f>SUMIFS(Item!$F$2:$F$1003,Item!$A$2:$A$1003,$B$3,Item!$E$2:$E$1003,$A21)+SUMIFS(Item!$F$2:$F$1003,Item!$A$2:$A$1003,$B$4,Item!$E$2:$E$1003,$A21)+SUMIFS(Item!$F$2:$F$1003,Item!$A$2:$A$1003,$B$5,Item!$E$2:$E$1003,$A21)+SUMIFS(Item!$F$2:$F$1003,Item!$A$2:$A$1003,$B$6,Item!$E$2:$E$1003,$A21)</f>
        <v>-10</v>
      </c>
      <c r="F21" s="5">
        <f t="shared" ref="F21:F24" si="9">E21*G21</f>
        <v>-5000</v>
      </c>
      <c r="G21">
        <v>500</v>
      </c>
      <c r="H21" s="6">
        <f t="shared" ref="H21:H24" si="10">B21*G21</f>
        <v>37500</v>
      </c>
    </row>
    <row r="22" spans="1:8">
      <c r="A22" t="s">
        <v>502</v>
      </c>
      <c r="B22" s="5">
        <f t="shared" si="4"/>
        <v>4</v>
      </c>
      <c r="C22" s="5">
        <v>4</v>
      </c>
      <c r="D22" s="5">
        <f t="shared" si="8"/>
        <v>7400</v>
      </c>
      <c r="E22" s="6">
        <f>SUMIFS(Item!$F$2:$F$1003,Item!$A$2:$A$1003,$B$3,Item!$E$2:$E$1003,$A22)+SUMIFS(Item!$F$2:$F$1003,Item!$A$2:$A$1003,$B$4,Item!$E$2:$E$1003,$A22)+SUMIFS(Item!$F$2:$F$1003,Item!$A$2:$A$1003,$B$5,Item!$E$2:$E$1003,$A22)+SUMIFS(Item!$F$2:$F$1003,Item!$A$2:$A$1003,$B$6,Item!$E$2:$E$1003,$A22)</f>
        <v>0</v>
      </c>
      <c r="F22" s="5">
        <f t="shared" si="9"/>
        <v>0</v>
      </c>
      <c r="G22">
        <v>1850</v>
      </c>
      <c r="H22" s="6">
        <f t="shared" si="10"/>
        <v>7400</v>
      </c>
    </row>
    <row r="23" spans="1:8">
      <c r="A23" t="s">
        <v>691</v>
      </c>
      <c r="B23" s="5">
        <f t="shared" si="4"/>
        <v>0</v>
      </c>
      <c r="C23" s="5">
        <v>0</v>
      </c>
      <c r="D23" s="5">
        <f t="shared" si="8"/>
        <v>0</v>
      </c>
      <c r="E23" s="6">
        <f>SUMIFS(Item!$F$2:$F$1003,Item!$A$2:$A$1003,$B$3,Item!$E$2:$E$1003,$A23)+SUMIFS(Item!$F$2:$F$1003,Item!$A$2:$A$1003,$B$4,Item!$E$2:$E$1003,$A23)+SUMIFS(Item!$F$2:$F$1003,Item!$A$2:$A$1003,$B$5,Item!$E$2:$E$1003,$A23)+SUMIFS(Item!$F$2:$F$1003,Item!$A$2:$A$1003,$B$6,Item!$E$2:$E$1003,$A23)</f>
        <v>0</v>
      </c>
      <c r="F23" s="5">
        <f t="shared" si="9"/>
        <v>0</v>
      </c>
      <c r="G23">
        <v>9600</v>
      </c>
      <c r="H23" s="6">
        <f t="shared" si="10"/>
        <v>0</v>
      </c>
    </row>
    <row r="24" spans="1:8">
      <c r="A24" t="s">
        <v>692</v>
      </c>
      <c r="B24" s="5">
        <f t="shared" si="4"/>
        <v>10</v>
      </c>
      <c r="C24" s="5">
        <v>10</v>
      </c>
      <c r="D24" s="5">
        <f t="shared" si="8"/>
        <v>15260</v>
      </c>
      <c r="E24" s="6">
        <f>SUMIFS(Item!$F$2:$F$1003,Item!$A$2:$A$1003,$B$3,Item!$E$2:$E$1003,$A24)+SUMIFS(Item!$F$2:$F$1003,Item!$A$2:$A$1003,$B$4,Item!$E$2:$E$1003,$A24)+SUMIFS(Item!$F$2:$F$1003,Item!$A$2:$A$1003,$B$5,Item!$E$2:$E$1003,$A24)+SUMIFS(Item!$F$2:$F$1003,Item!$A$2:$A$1003,$B$6,Item!$E$2:$E$1003,$A24)</f>
        <v>0</v>
      </c>
      <c r="F24" s="5">
        <f t="shared" si="9"/>
        <v>0</v>
      </c>
      <c r="G24">
        <v>1526</v>
      </c>
      <c r="H24" s="6">
        <f t="shared" si="10"/>
        <v>15260</v>
      </c>
    </row>
    <row r="25" spans="1:8">
      <c r="A25" t="s">
        <v>486</v>
      </c>
      <c r="B25" s="8">
        <f t="shared" si="4"/>
        <v>0</v>
      </c>
      <c r="C25" s="8">
        <v>0</v>
      </c>
      <c r="D25" s="5">
        <f t="shared" ref="D25:D27" si="11">C25*G25*100</f>
        <v>0</v>
      </c>
      <c r="E25" s="9">
        <f>SUMIFS(Item!$F$2:$F$1003,Item!$A$2:$A$1003,$B$3,Item!$E$2:$E$1003,$A25)+SUMIFS(Item!$F$2:$F$1003,Item!$A$2:$A$1003,$B$4,Item!$E$2:$E$1003,$A25)+SUMIFS(Item!$F$2:$F$1003,Item!$A$2:$A$1003,$B$5,Item!$E$2:$E$1003,$A25)+SUMIFS(Item!$F$2:$F$1003,Item!$A$2:$A$1003,$B$6,Item!$E$2:$E$1003,$A25)</f>
        <v>0</v>
      </c>
      <c r="F25" s="5">
        <f t="shared" ref="F25:F27" si="12">E25*G25*100</f>
        <v>0</v>
      </c>
      <c r="G25">
        <v>209.33</v>
      </c>
      <c r="H25" s="6">
        <f t="shared" ref="H25:H27" si="13">B25*G25*100</f>
        <v>0</v>
      </c>
    </row>
    <row r="26" spans="1:8">
      <c r="A26" t="s">
        <v>490</v>
      </c>
      <c r="B26" s="8">
        <f t="shared" si="4"/>
        <v>0</v>
      </c>
      <c r="C26" s="8">
        <v>0</v>
      </c>
      <c r="D26" s="5">
        <f t="shared" si="11"/>
        <v>0</v>
      </c>
      <c r="E26" s="9">
        <f>SUMIFS(Item!$F$2:$F$1003,Item!$A$2:$A$1003,$B$3,Item!$E$2:$E$1003,$A26)+SUMIFS(Item!$F$2:$F$1003,Item!$A$2:$A$1003,$B$4,Item!$E$2:$E$1003,$A26)+SUMIFS(Item!$F$2:$F$1003,Item!$A$2:$A$1003,$B$5,Item!$E$2:$E$1003,$A26)+SUMIFS(Item!$F$2:$F$1003,Item!$A$2:$A$1003,$B$6,Item!$E$2:$E$1003,$A26)</f>
        <v>0</v>
      </c>
      <c r="F26" s="5">
        <f t="shared" si="12"/>
        <v>0</v>
      </c>
      <c r="G26">
        <v>209.33</v>
      </c>
      <c r="H26" s="6">
        <f t="shared" si="13"/>
        <v>0</v>
      </c>
    </row>
    <row r="27" spans="1:8">
      <c r="A27" t="s">
        <v>494</v>
      </c>
      <c r="B27" s="8">
        <f t="shared" si="4"/>
        <v>0</v>
      </c>
      <c r="C27" s="8">
        <v>0</v>
      </c>
      <c r="D27" s="5">
        <f t="shared" si="11"/>
        <v>0</v>
      </c>
      <c r="E27" s="9">
        <f>SUMIFS(Item!$F$2:$F$1003,Item!$A$2:$A$1003,$B$3,Item!$E$2:$E$1003,$A27)+SUMIFS(Item!$F$2:$F$1003,Item!$A$2:$A$1003,$B$4,Item!$E$2:$E$1003,$A27)+SUMIFS(Item!$F$2:$F$1003,Item!$A$2:$A$1003,$B$5,Item!$E$2:$E$1003,$A27)+SUMIFS(Item!$F$2:$F$1003,Item!$A$2:$A$1003,$B$6,Item!$E$2:$E$1003,$A27)</f>
        <v>0</v>
      </c>
      <c r="F27" s="5">
        <f t="shared" si="12"/>
        <v>0</v>
      </c>
      <c r="G27">
        <v>291.54</v>
      </c>
      <c r="H27" s="6">
        <f t="shared" si="13"/>
        <v>0</v>
      </c>
    </row>
    <row r="28" spans="1:8">
      <c r="A28" s="10" t="s">
        <v>701</v>
      </c>
      <c r="B28" s="10"/>
      <c r="C28" s="10"/>
      <c r="D28" s="11">
        <f t="shared" ref="D28:H28" si="14">SUM(D9:D27)</f>
        <v>170879</v>
      </c>
      <c r="E28" s="12"/>
      <c r="F28" s="11">
        <f t="shared" si="14"/>
        <v>64200</v>
      </c>
      <c r="G28" s="10"/>
      <c r="H28" s="11">
        <f t="shared" si="14"/>
        <v>235079</v>
      </c>
    </row>
    <row r="29" spans="1:6">
      <c r="A29" t="s">
        <v>1034</v>
      </c>
      <c r="D29" s="12">
        <f>'Balanced Dummy '!D22-D28</f>
        <v>0</v>
      </c>
      <c r="E29" s="12"/>
      <c r="F29" s="12"/>
    </row>
    <row r="31" s="52" customFormat="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s="52" customFormat="1" ht="30" spans="1:12">
      <c r="A32" s="13" t="s">
        <v>1139</v>
      </c>
      <c r="B32" s="14">
        <v>125</v>
      </c>
      <c r="C32" s="36">
        <v>7583</v>
      </c>
      <c r="D32" s="14">
        <v>4</v>
      </c>
      <c r="E32" s="14" t="s">
        <v>1140</v>
      </c>
      <c r="F32" s="13" t="s">
        <v>1141</v>
      </c>
      <c r="G32" s="13" t="s">
        <v>860</v>
      </c>
      <c r="H32" s="13">
        <v>6</v>
      </c>
      <c r="I32" s="14" t="s">
        <v>1142</v>
      </c>
      <c r="J32" s="150" t="s">
        <v>1143</v>
      </c>
      <c r="K32" s="30">
        <f>-4.75%*5</f>
        <v>-0.2375</v>
      </c>
      <c r="L32" s="60">
        <f>8270*2+8270*2*0.9</f>
        <v>31426</v>
      </c>
    </row>
    <row r="33" s="52" customFormat="1" spans="1:12">
      <c r="A33" s="13"/>
      <c r="B33" s="14"/>
      <c r="C33" s="36"/>
      <c r="D33" s="14"/>
      <c r="E33" s="14"/>
      <c r="F33" s="13"/>
      <c r="G33" s="13"/>
      <c r="H33" s="13"/>
      <c r="I33" s="13" t="s">
        <v>1101</v>
      </c>
      <c r="J33" s="13" t="s">
        <v>1144</v>
      </c>
      <c r="K33" s="61">
        <f>1.654*1000*15%*5</f>
        <v>1240.5</v>
      </c>
      <c r="L33" s="60"/>
    </row>
    <row r="34" s="52" customFormat="1" ht="30" spans="1:12">
      <c r="A34" s="13"/>
      <c r="B34" s="14"/>
      <c r="C34" s="36"/>
      <c r="D34" s="14"/>
      <c r="E34" s="14"/>
      <c r="F34" s="13"/>
      <c r="G34" s="13"/>
      <c r="H34" s="13"/>
      <c r="I34" s="13" t="s">
        <v>1043</v>
      </c>
      <c r="J34" s="62">
        <v>0.5</v>
      </c>
      <c r="K34" s="63">
        <v>0.5</v>
      </c>
      <c r="L34" s="60"/>
    </row>
    <row r="35" s="52" customFormat="1" ht="32" customHeight="1" spans="1:12">
      <c r="A35" s="13" t="s">
        <v>1145</v>
      </c>
      <c r="B35" s="14">
        <v>100</v>
      </c>
      <c r="C35" s="36">
        <v>5748</v>
      </c>
      <c r="D35" s="14">
        <v>5</v>
      </c>
      <c r="E35" s="14" t="s">
        <v>1146</v>
      </c>
      <c r="F35" s="13" t="s">
        <v>1141</v>
      </c>
      <c r="G35" s="13" t="s">
        <v>849</v>
      </c>
      <c r="H35" s="13"/>
      <c r="I35" s="13" t="s">
        <v>464</v>
      </c>
      <c r="J35" s="13" t="s">
        <v>1147</v>
      </c>
      <c r="K35" s="64">
        <f>1.654*1000*5</f>
        <v>8270</v>
      </c>
      <c r="L35" s="65">
        <f>8279*1.975*1.25</f>
        <v>20438.78125</v>
      </c>
    </row>
    <row r="36" s="52" customFormat="1" ht="32" customHeight="1" spans="1:12">
      <c r="A36" s="13"/>
      <c r="B36" s="14"/>
      <c r="C36" s="36"/>
      <c r="D36" s="14"/>
      <c r="E36" s="14"/>
      <c r="F36" s="13"/>
      <c r="G36" s="13"/>
      <c r="H36" s="13"/>
      <c r="I36" s="13" t="s">
        <v>1148</v>
      </c>
      <c r="J36" s="62">
        <v>0.65</v>
      </c>
      <c r="K36" s="28">
        <v>0.65</v>
      </c>
      <c r="L36" s="65"/>
    </row>
    <row r="37" s="52" customFormat="1" ht="32" customHeight="1" spans="1:12">
      <c r="A37" s="13"/>
      <c r="B37" s="14"/>
      <c r="C37" s="36"/>
      <c r="D37" s="14"/>
      <c r="E37" s="14"/>
      <c r="F37" s="13"/>
      <c r="G37" s="13"/>
      <c r="H37" s="13"/>
      <c r="I37" s="13" t="s">
        <v>1149</v>
      </c>
      <c r="J37" s="62">
        <v>0.5</v>
      </c>
      <c r="K37" s="30"/>
      <c r="L37" s="65"/>
    </row>
    <row r="38" s="52" customFormat="1" ht="31" customHeight="1" spans="1:12">
      <c r="A38" s="13" t="s">
        <v>1150</v>
      </c>
      <c r="B38" s="13" t="s">
        <v>194</v>
      </c>
      <c r="C38" s="14">
        <v>0</v>
      </c>
      <c r="D38" s="13">
        <v>0</v>
      </c>
      <c r="E38" s="13" t="s">
        <v>1151</v>
      </c>
      <c r="F38" s="13"/>
      <c r="G38" s="13"/>
      <c r="H38" s="13"/>
      <c r="I38" s="13" t="s">
        <v>916</v>
      </c>
      <c r="J38" s="13" t="s">
        <v>1152</v>
      </c>
      <c r="K38" s="30">
        <f>4%*5</f>
        <v>0.2</v>
      </c>
      <c r="L38" s="60"/>
    </row>
    <row r="39" s="52" customFormat="1" ht="31" customHeight="1" spans="1:12">
      <c r="A39" s="13"/>
      <c r="B39" s="13"/>
      <c r="C39" s="14"/>
      <c r="D39" s="13"/>
      <c r="E39" s="13"/>
      <c r="F39" s="13"/>
      <c r="G39" s="13"/>
      <c r="H39" s="13"/>
      <c r="I39" s="13" t="s">
        <v>915</v>
      </c>
      <c r="J39" s="13" t="s">
        <v>1152</v>
      </c>
      <c r="K39" s="30">
        <f>4%*5</f>
        <v>0.2</v>
      </c>
      <c r="L39" s="60"/>
    </row>
    <row r="40" spans="1:11">
      <c r="A40" s="23"/>
      <c r="B40" s="23"/>
      <c r="C40" s="23"/>
      <c r="D40" s="23"/>
      <c r="E40" s="23"/>
      <c r="F40" s="23"/>
      <c r="G40" s="23"/>
      <c r="H40" s="23"/>
      <c r="I40" s="23"/>
      <c r="J40" s="23"/>
      <c r="K40" s="66"/>
    </row>
    <row r="41" ht="45" spans="1:11">
      <c r="A41" s="17" t="s">
        <v>1069</v>
      </c>
      <c r="B41" s="17" t="s">
        <v>1153</v>
      </c>
      <c r="C41" s="17" t="s">
        <v>1154</v>
      </c>
      <c r="D41" s="17" t="s">
        <v>1155</v>
      </c>
      <c r="E41" s="56" t="s">
        <v>1156</v>
      </c>
      <c r="F41" s="56" t="s">
        <v>1157</v>
      </c>
      <c r="G41" s="56" t="s">
        <v>1158</v>
      </c>
      <c r="H41" s="56" t="s">
        <v>1159</v>
      </c>
      <c r="I41" s="23"/>
      <c r="J41" s="23"/>
      <c r="K41" s="66"/>
    </row>
    <row r="42" ht="60" spans="1:11">
      <c r="A42" s="24"/>
      <c r="B42" s="24"/>
      <c r="C42" s="24"/>
      <c r="D42" s="24"/>
      <c r="E42" s="56" t="s">
        <v>1160</v>
      </c>
      <c r="F42" s="56" t="s">
        <v>1161</v>
      </c>
      <c r="G42" s="56" t="s">
        <v>1162</v>
      </c>
      <c r="H42" s="56" t="s">
        <v>1163</v>
      </c>
      <c r="I42" s="23"/>
      <c r="J42" s="23"/>
      <c r="K42" s="66"/>
    </row>
    <row r="43" ht="45" spans="1:11">
      <c r="A43" s="16" t="s">
        <v>1081</v>
      </c>
      <c r="B43" s="16" t="s">
        <v>865</v>
      </c>
      <c r="C43" s="16" t="s">
        <v>1164</v>
      </c>
      <c r="D43" s="16" t="s">
        <v>1165</v>
      </c>
      <c r="E43" s="56" t="s">
        <v>1166</v>
      </c>
      <c r="F43" s="57" t="s">
        <v>1167</v>
      </c>
      <c r="G43" s="58" t="s">
        <v>1168</v>
      </c>
      <c r="H43" s="59" t="s">
        <v>1169</v>
      </c>
      <c r="I43" s="23"/>
      <c r="J43" s="23"/>
      <c r="K43" s="66"/>
    </row>
    <row r="44" ht="45" spans="1:11">
      <c r="A44" s="16"/>
      <c r="B44" s="16"/>
      <c r="C44" s="16"/>
      <c r="D44" s="16"/>
      <c r="E44" s="56" t="s">
        <v>1170</v>
      </c>
      <c r="F44" s="56" t="s">
        <v>1171</v>
      </c>
      <c r="G44" s="58" t="s">
        <v>1172</v>
      </c>
      <c r="H44" s="57" t="s">
        <v>1173</v>
      </c>
      <c r="I44" s="23"/>
      <c r="J44" s="23"/>
      <c r="K44" s="66">
        <f>1850*5</f>
        <v>9250</v>
      </c>
    </row>
  </sheetData>
  <mergeCells count="34">
    <mergeCell ref="A32:A34"/>
    <mergeCell ref="A35:A37"/>
    <mergeCell ref="A38:A39"/>
    <mergeCell ref="A41:A42"/>
    <mergeCell ref="A43:A44"/>
    <mergeCell ref="B32:B34"/>
    <mergeCell ref="B35:B37"/>
    <mergeCell ref="B38:B39"/>
    <mergeCell ref="B41:B42"/>
    <mergeCell ref="B43:B44"/>
    <mergeCell ref="C32:C34"/>
    <mergeCell ref="C35:C37"/>
    <mergeCell ref="C38:C39"/>
    <mergeCell ref="C41:C42"/>
    <mergeCell ref="C43:C44"/>
    <mergeCell ref="D32:D34"/>
    <mergeCell ref="D35:D37"/>
    <mergeCell ref="D38:D39"/>
    <mergeCell ref="D41:D42"/>
    <mergeCell ref="D43:D44"/>
    <mergeCell ref="E32:E34"/>
    <mergeCell ref="E35:E37"/>
    <mergeCell ref="E38:E39"/>
    <mergeCell ref="F32:F34"/>
    <mergeCell ref="F35:F37"/>
    <mergeCell ref="F38:F39"/>
    <mergeCell ref="G32:G34"/>
    <mergeCell ref="G35:G37"/>
    <mergeCell ref="G38:G39"/>
    <mergeCell ref="H32:H34"/>
    <mergeCell ref="H35:H37"/>
    <mergeCell ref="H38:H39"/>
    <mergeCell ref="L32:L33"/>
    <mergeCell ref="L35:L37"/>
  </mergeCells>
  <pageMargins left="0.7" right="0.7" top="0.75" bottom="0.75" header="0.3" footer="0.3"/>
  <headerFooter/>
  <ignoredErrors>
    <ignoredError sqref="B12" formula="1"/>
  </ignoredError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opLeftCell="A20" workbookViewId="0">
      <selection activeCell="L31" sqref="L31"/>
    </sheetView>
  </sheetViews>
  <sheetFormatPr defaultColWidth="9.14285714285714" defaultRowHeight="15"/>
  <cols>
    <col min="1" max="1" width="22.5714285714286" customWidth="1"/>
    <col min="2" max="2" width="14.7142857142857" customWidth="1"/>
    <col min="3" max="3" width="22.5714285714286" customWidth="1"/>
    <col min="4" max="4" width="14.1428571428571" customWidth="1"/>
    <col min="5" max="5" width="34.7142857142857" customWidth="1"/>
    <col min="6" max="6" width="17.7142857142857" customWidth="1"/>
    <col min="7" max="8" width="24" customWidth="1"/>
    <col min="9" max="9" width="23.8571428571429" customWidth="1"/>
    <col min="10" max="10" width="21.4285714285714" customWidth="1"/>
    <col min="11" max="11" width="10" style="25" customWidth="1"/>
    <col min="12" max="12" width="16"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1174</v>
      </c>
    </row>
    <row r="2" spans="1:2">
      <c r="A2" t="s">
        <v>1024</v>
      </c>
      <c r="B2" t="s">
        <v>1175</v>
      </c>
    </row>
    <row r="3" spans="1:2">
      <c r="A3" t="s">
        <v>1026</v>
      </c>
      <c r="B3" s="1" t="s">
        <v>859</v>
      </c>
    </row>
    <row r="4" spans="1:2">
      <c r="A4" t="s">
        <v>1027</v>
      </c>
      <c r="B4" s="35" t="s">
        <v>868</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40610</v>
      </c>
      <c r="C9" s="5">
        <v>23376</v>
      </c>
      <c r="D9" s="5">
        <f>C9*G9</f>
        <v>23376</v>
      </c>
      <c r="E9" s="6">
        <f>SUMIFS(Item!$F$2:$F$1003,Item!$A$2:$A$1003,$B$3,Item!$E$2:$E$1003,$A9)+SUMIFS(Item!$F$2:$F$1003,Item!$A$2:$A$1003,$B$4,Item!$E$2:$E$1003,$A9)+SUMIFS(Item!$F$2:$F$1003,Item!$A$2:$A$1003,$B$5,Item!$E$2:$E$1003,$A9)+SUMIFS(Item!$F$2:$F$1003,Item!$A$2:$A$1003,$B$6,Item!$E$2:$E$1003,$A9)</f>
        <v>17234</v>
      </c>
      <c r="F9" s="5">
        <f>E9*G9</f>
        <v>17234</v>
      </c>
      <c r="G9">
        <v>1</v>
      </c>
      <c r="H9" s="6">
        <f>B9*G9</f>
        <v>40610</v>
      </c>
    </row>
    <row r="10" spans="1:8">
      <c r="A10" t="s">
        <v>452</v>
      </c>
      <c r="B10" s="5">
        <f>SUM(C10,E10)</f>
        <v>36880</v>
      </c>
      <c r="C10" s="5">
        <v>16350</v>
      </c>
      <c r="D10" s="5">
        <f>C10*G10</f>
        <v>3270</v>
      </c>
      <c r="E10" s="6">
        <f>SUMIFS(Item!$F$2:$F$1003,Item!$A$2:$A$1003,$B$3,Item!$E$2:$E$1003,$A10)+SUMIFS(Item!$F$2:$F$1003,Item!$A$2:$A$1003,$B$4,Item!$E$2:$E$1003,$A10)+SUMIFS(Item!$F$2:$F$1003,Item!$A$2:$A$1003,$B$5,Item!$E$2:$E$1003,$A10)+SUMIFS(Item!$F$2:$F$1003,Item!$A$2:$A$1003,$B$6,Item!$E$2:$E$1003,$A10)</f>
        <v>20530</v>
      </c>
      <c r="F10" s="5">
        <f>E10*G10</f>
        <v>4106</v>
      </c>
      <c r="G10">
        <v>0.2</v>
      </c>
      <c r="H10" s="6">
        <f>B10*G10</f>
        <v>7376</v>
      </c>
    </row>
    <row r="11" spans="1:8">
      <c r="A11" t="s">
        <v>455</v>
      </c>
      <c r="B11" s="5">
        <f>SUM(C11,E11)</f>
        <v>4491.68942861361</v>
      </c>
      <c r="C11" s="5">
        <f>32991/G11</f>
        <v>3166.12284069098</v>
      </c>
      <c r="D11" s="5">
        <f>C11*G11</f>
        <v>32991</v>
      </c>
      <c r="E11" s="6">
        <f>SUMIFS(Item!$F$2:$F$1003,Item!$A$2:$A$1003,$B$3,Item!$E$2:$E$1003,$A11)+SUMIFS(Item!$F$2:$F$1003,Item!$A$2:$A$1003,$B$4,Item!$E$2:$E$1003,$A11)+SUMIFS(Item!$F$2:$F$1003,Item!$A$2:$A$1003,$B$5,Item!$E$2:$E$1003,$A11)+SUMIFS(Item!$F$2:$F$1003,Item!$A$2:$A$1003,$B$6,Item!$E$2:$E$1003,$A11)</f>
        <v>1325.56658792263</v>
      </c>
      <c r="F11" s="5">
        <f>E11*G11</f>
        <v>13812.4038461538</v>
      </c>
      <c r="G11">
        <v>10.42</v>
      </c>
      <c r="H11" s="6">
        <f>B11*G11</f>
        <v>46803.4038461538</v>
      </c>
    </row>
    <row r="12" spans="1:8">
      <c r="A12" t="s">
        <v>1138</v>
      </c>
      <c r="B12" s="5">
        <f>B11*B17*(1+B19*B20)</f>
        <v>7327.06838042596</v>
      </c>
      <c r="C12" s="5"/>
      <c r="D12" s="5"/>
      <c r="E12" s="6"/>
      <c r="F12" s="5"/>
      <c r="H12" s="6"/>
    </row>
    <row r="13" spans="1:8">
      <c r="A13" t="s">
        <v>459</v>
      </c>
      <c r="B13" s="5">
        <f>SUM(C13,E13)</f>
        <v>850</v>
      </c>
      <c r="C13" s="5">
        <v>350</v>
      </c>
      <c r="D13" s="5">
        <f>C13*G13</f>
        <v>2432.5</v>
      </c>
      <c r="E13" s="6">
        <f>SUMIFS(Item!$F$2:$F$1003,Item!$A$2:$A$1003,$B$3,Item!$E$2:$E$1003,$A13)+SUMIFS(Item!$F$2:$F$1003,Item!$A$2:$A$1003,$B$4,Item!$E$2:$E$1003,$A13)+SUMIFS(Item!$F$2:$F$1003,Item!$A$2:$A$1003,$B$5,Item!$E$2:$E$1003,$A13)+SUMIFS(Item!$F$2:$F$1003,Item!$A$2:$A$1003,$B$6,Item!$E$2:$E$1003,$A13)</f>
        <v>500</v>
      </c>
      <c r="F13" s="5">
        <f>E13*G13</f>
        <v>3475</v>
      </c>
      <c r="G13">
        <v>6.95</v>
      </c>
      <c r="H13" s="6">
        <f>B13*G13</f>
        <v>5907.5</v>
      </c>
    </row>
    <row r="14" spans="1:8">
      <c r="A14" t="s">
        <v>467</v>
      </c>
      <c r="B14" s="5">
        <f>SUM(C14,E14)</f>
        <v>850</v>
      </c>
      <c r="C14" s="5">
        <v>350</v>
      </c>
      <c r="D14" s="5">
        <f>C14*G14</f>
        <v>5099.5</v>
      </c>
      <c r="E14" s="6">
        <f>SUMIFS(Item!$F$2:$F$1003,Item!$A$2:$A$1003,$B$3,Item!$E$2:$E$1003,$A14)+SUMIFS(Item!$F$2:$F$1003,Item!$A$2:$A$1003,$B$4,Item!$E$2:$E$1003,$A14)+SUMIFS(Item!$F$2:$F$1003,Item!$A$2:$A$1003,$B$5,Item!$E$2:$E$1003,$A14)+SUMIFS(Item!$F$2:$F$1003,Item!$A$2:$A$1003,$B$6,Item!$E$2:$E$1003,$A14)</f>
        <v>500</v>
      </c>
      <c r="F14" s="5">
        <f>E14*G14</f>
        <v>7285</v>
      </c>
      <c r="G14">
        <v>14.57</v>
      </c>
      <c r="H14" s="6">
        <f>B14*G14</f>
        <v>12384.5</v>
      </c>
    </row>
    <row r="15" spans="1:10">
      <c r="A15" t="s">
        <v>564</v>
      </c>
      <c r="B15" s="7">
        <f>B13/(B13+1000)</f>
        <v>0.459459459459459</v>
      </c>
      <c r="C15" s="5"/>
      <c r="D15" s="5"/>
      <c r="E15" s="6"/>
      <c r="F15" s="5"/>
      <c r="H15" s="6"/>
      <c r="J15" s="7"/>
    </row>
    <row r="16" spans="1:10">
      <c r="A16" t="s">
        <v>688</v>
      </c>
      <c r="B16" s="7">
        <f>B14/(B14+1000)</f>
        <v>0.459459459459459</v>
      </c>
      <c r="C16" s="5"/>
      <c r="D16" s="5"/>
      <c r="E16" s="6"/>
      <c r="F16" s="5"/>
      <c r="H16" s="6"/>
      <c r="J16" s="7"/>
    </row>
    <row r="17" spans="1:8">
      <c r="A17" t="s">
        <v>482</v>
      </c>
      <c r="B17" s="8">
        <f t="shared" ref="B17:B27" si="0">SUM(C17,E17)</f>
        <v>1.45</v>
      </c>
      <c r="C17" s="8">
        <v>1.2</v>
      </c>
      <c r="D17" s="5">
        <f t="shared" ref="D17:D20" si="1">C17*G17*100</f>
        <v>20880</v>
      </c>
      <c r="E17" s="9">
        <f>SUMIFS(Item!$F$2:$F$1003,Item!$A$2:$A$1003,$B$3,Item!$E$2:$E$1003,$A17)+SUMIFS(Item!$F$2:$F$1003,Item!$A$2:$A$1003,$B$4,Item!$E$2:$E$1003,$A17)+SUMIFS(Item!$F$2:$F$1003,Item!$A$2:$A$1003,$B$5,Item!$E$2:$E$1003,$A17)+SUMIFS(Item!$F$2:$F$1003,Item!$A$2:$A$1003,$B$6,Item!$E$2:$E$1003,$A17)</f>
        <v>0.25</v>
      </c>
      <c r="F17" s="5">
        <f t="shared" ref="F17:F20" si="2">E17*G17*100</f>
        <v>4350</v>
      </c>
      <c r="G17">
        <v>174</v>
      </c>
      <c r="H17" s="6">
        <f t="shared" ref="H17:H20" si="3">B17*G17*100</f>
        <v>25230</v>
      </c>
    </row>
    <row r="18" spans="1:8">
      <c r="A18" t="s">
        <v>689</v>
      </c>
      <c r="B18" s="8">
        <f t="shared" si="0"/>
        <v>0</v>
      </c>
      <c r="C18" s="8">
        <v>0</v>
      </c>
      <c r="D18" s="5">
        <f t="shared" si="1"/>
        <v>0</v>
      </c>
      <c r="E18" s="9">
        <f>SUMIFS(Item!$F$2:$F$1003,Item!$A$2:$A$1003,$B$3,Item!$E$2:$E$1003,$A18)+SUMIFS(Item!$F$2:$F$1003,Item!$A$2:$A$1003,$B$4,Item!$E$2:$E$1003,$A18)+SUMIFS(Item!$F$2:$F$1003,Item!$A$2:$A$1003,$B$5,Item!$E$2:$E$1003,$A18)+SUMIFS(Item!$F$2:$F$1003,Item!$A$2:$A$1003,$B$6,Item!$E$2:$E$1003,$A18)</f>
        <v>0</v>
      </c>
      <c r="F18" s="5">
        <f t="shared" si="2"/>
        <v>0</v>
      </c>
      <c r="G18">
        <v>174</v>
      </c>
      <c r="H18" s="6">
        <f t="shared" si="3"/>
        <v>0</v>
      </c>
    </row>
    <row r="19" spans="1:8">
      <c r="A19" t="s">
        <v>474</v>
      </c>
      <c r="B19" s="8">
        <f t="shared" si="0"/>
        <v>0.25</v>
      </c>
      <c r="C19" s="8">
        <v>0</v>
      </c>
      <c r="D19" s="5">
        <f t="shared" si="1"/>
        <v>0</v>
      </c>
      <c r="E19" s="9">
        <f>SUMIFS(Item!$F$2:$F$1003,Item!$A$2:$A$1003,$B$3,Item!$E$2:$E$1003,$A19)+SUMIFS(Item!$F$2:$F$1003,Item!$A$2:$A$1003,$B$4,Item!$E$2:$E$1003,$A19)+SUMIFS(Item!$F$2:$F$1003,Item!$A$2:$A$1003,$B$5,Item!$E$2:$E$1003,$A19)+SUMIFS(Item!$F$2:$F$1003,Item!$A$2:$A$1003,$B$6,Item!$E$2:$E$1003,$A19)</f>
        <v>0.25</v>
      </c>
      <c r="F19" s="5">
        <f t="shared" si="2"/>
        <v>4350</v>
      </c>
      <c r="G19">
        <v>174</v>
      </c>
      <c r="H19" s="6">
        <f t="shared" si="3"/>
        <v>4350</v>
      </c>
    </row>
    <row r="20" spans="1:8">
      <c r="A20" t="s">
        <v>478</v>
      </c>
      <c r="B20" s="8">
        <f t="shared" si="0"/>
        <v>0.5</v>
      </c>
      <c r="C20" s="8">
        <v>0.5</v>
      </c>
      <c r="D20" s="5">
        <f t="shared" si="1"/>
        <v>1737</v>
      </c>
      <c r="E20" s="9">
        <f>SUMIFS(Item!$F$2:$F$1003,Item!$A$2:$A$1003,$B$3,Item!$E$2:$E$1003,$A20)+SUMIFS(Item!$F$2:$F$1003,Item!$A$2:$A$1003,$B$4,Item!$E$2:$E$1003,$A20)+SUMIFS(Item!$F$2:$F$1003,Item!$A$2:$A$1003,$B$5,Item!$E$2:$E$1003,$A20)+SUMIFS(Item!$F$2:$F$1003,Item!$A$2:$A$1003,$B$6,Item!$E$2:$E$1003,$A20)</f>
        <v>0</v>
      </c>
      <c r="F20" s="5">
        <f t="shared" si="2"/>
        <v>0</v>
      </c>
      <c r="G20">
        <v>34.74</v>
      </c>
      <c r="H20" s="6">
        <f t="shared" si="3"/>
        <v>1737</v>
      </c>
    </row>
    <row r="21" spans="1:8">
      <c r="A21" t="s">
        <v>109</v>
      </c>
      <c r="B21" s="5">
        <f t="shared" si="0"/>
        <v>75</v>
      </c>
      <c r="C21" s="5">
        <v>75</v>
      </c>
      <c r="D21" s="5">
        <f t="shared" ref="D21:D24" si="4">C21*G21</f>
        <v>37500</v>
      </c>
      <c r="E21" s="6">
        <f>SUMIFS(Item!$F$2:$F$1003,Item!$A$2:$A$1003,$B$3,Item!$E$2:$E$1003,$A21)+SUMIFS(Item!$F$2:$F$1003,Item!$A$2:$A$1003,$B$4,Item!$E$2:$E$1003,$A21)+SUMIFS(Item!$F$2:$F$1003,Item!$A$2:$A$1003,$B$5,Item!$E$2:$E$1003,$A21)+SUMIFS(Item!$F$2:$F$1003,Item!$A$2:$A$1003,$B$6,Item!$E$2:$E$1003,$A21)</f>
        <v>0</v>
      </c>
      <c r="F21" s="5">
        <f t="shared" ref="F21:F24" si="5">E21*G21</f>
        <v>0</v>
      </c>
      <c r="G21">
        <v>500</v>
      </c>
      <c r="H21" s="6">
        <f t="shared" ref="H21:H24" si="6">B21*G21</f>
        <v>37500</v>
      </c>
    </row>
    <row r="22" spans="1:8">
      <c r="A22" t="s">
        <v>502</v>
      </c>
      <c r="B22" s="5">
        <f t="shared" si="0"/>
        <v>4</v>
      </c>
      <c r="C22" s="5">
        <v>4</v>
      </c>
      <c r="D22" s="5">
        <f t="shared" si="4"/>
        <v>7400</v>
      </c>
      <c r="E22" s="6">
        <f>SUMIFS(Item!$F$2:$F$1003,Item!$A$2:$A$1003,$B$3,Item!$E$2:$E$1003,$A22)+SUMIFS(Item!$F$2:$F$1003,Item!$A$2:$A$1003,$B$4,Item!$E$2:$E$1003,$A22)+SUMIFS(Item!$F$2:$F$1003,Item!$A$2:$A$1003,$B$5,Item!$E$2:$E$1003,$A22)+SUMIFS(Item!$F$2:$F$1003,Item!$A$2:$A$1003,$B$6,Item!$E$2:$E$1003,$A22)</f>
        <v>0</v>
      </c>
      <c r="F22" s="5">
        <f t="shared" si="5"/>
        <v>0</v>
      </c>
      <c r="G22">
        <v>1850</v>
      </c>
      <c r="H22" s="6">
        <f t="shared" si="6"/>
        <v>7400</v>
      </c>
    </row>
    <row r="23" spans="1:8">
      <c r="A23" t="s">
        <v>691</v>
      </c>
      <c r="B23" s="5">
        <f t="shared" si="0"/>
        <v>1</v>
      </c>
      <c r="C23" s="5">
        <v>0</v>
      </c>
      <c r="D23" s="5">
        <f t="shared" si="4"/>
        <v>0</v>
      </c>
      <c r="E23" s="6">
        <f>SUMIFS(Item!$F$2:$F$1003,Item!$A$2:$A$1003,$B$3,Item!$E$2:$E$1003,$A23)+SUMIFS(Item!$F$2:$F$1003,Item!$A$2:$A$1003,$B$4,Item!$E$2:$E$1003,$A23)+SUMIFS(Item!$F$2:$F$1003,Item!$A$2:$A$1003,$B$5,Item!$E$2:$E$1003,$A23)+SUMIFS(Item!$F$2:$F$1003,Item!$A$2:$A$1003,$B$6,Item!$E$2:$E$1003,$A23)</f>
        <v>1</v>
      </c>
      <c r="F23" s="5">
        <f t="shared" si="5"/>
        <v>9600</v>
      </c>
      <c r="G23">
        <v>9600</v>
      </c>
      <c r="H23" s="6">
        <f t="shared" si="6"/>
        <v>9600</v>
      </c>
    </row>
    <row r="24" spans="1:8">
      <c r="A24" t="s">
        <v>692</v>
      </c>
      <c r="B24" s="5">
        <f t="shared" si="0"/>
        <v>10</v>
      </c>
      <c r="C24" s="5">
        <v>10</v>
      </c>
      <c r="D24" s="5">
        <f t="shared" si="4"/>
        <v>15260</v>
      </c>
      <c r="E24" s="6">
        <f>SUMIFS(Item!$F$2:$F$1003,Item!$A$2:$A$1003,$B$3,Item!$E$2:$E$1003,$A24)+SUMIFS(Item!$F$2:$F$1003,Item!$A$2:$A$1003,$B$4,Item!$E$2:$E$1003,$A24)+SUMIFS(Item!$F$2:$F$1003,Item!$A$2:$A$1003,$B$5,Item!$E$2:$E$1003,$A24)+SUMIFS(Item!$F$2:$F$1003,Item!$A$2:$A$1003,$B$6,Item!$E$2:$E$1003,$A24)</f>
        <v>0</v>
      </c>
      <c r="F24" s="5">
        <f t="shared" si="5"/>
        <v>0</v>
      </c>
      <c r="G24">
        <v>1526</v>
      </c>
      <c r="H24" s="6">
        <f t="shared" si="6"/>
        <v>15260</v>
      </c>
    </row>
    <row r="25" spans="1:8">
      <c r="A25" t="s">
        <v>486</v>
      </c>
      <c r="B25" s="8">
        <f t="shared" si="0"/>
        <v>1</v>
      </c>
      <c r="C25" s="8">
        <v>1</v>
      </c>
      <c r="D25" s="5">
        <f t="shared" ref="D25:D27" si="7">C25*G25*100</f>
        <v>20933</v>
      </c>
      <c r="E25" s="9">
        <f>SUMIFS(Item!$F$2:$F$1003,Item!$A$2:$A$1003,$B$3,Item!$E$2:$E$1003,$A25)+SUMIFS(Item!$F$2:$F$1003,Item!$A$2:$A$1003,$B$4,Item!$E$2:$E$1003,$A25)+SUMIFS(Item!$F$2:$F$1003,Item!$A$2:$A$1003,$B$5,Item!$E$2:$E$1003,$A25)+SUMIFS(Item!$F$2:$F$1003,Item!$A$2:$A$1003,$B$6,Item!$E$2:$E$1003,$A25)</f>
        <v>0</v>
      </c>
      <c r="F25" s="5">
        <f t="shared" ref="F25:F27" si="8">E25*G25*100</f>
        <v>0</v>
      </c>
      <c r="G25">
        <v>209.33</v>
      </c>
      <c r="H25" s="6">
        <f t="shared" ref="H25:H27" si="9">B25*G25*100</f>
        <v>20933</v>
      </c>
    </row>
    <row r="26" spans="1:8">
      <c r="A26" t="s">
        <v>490</v>
      </c>
      <c r="B26" s="8">
        <f t="shared" si="0"/>
        <v>0</v>
      </c>
      <c r="C26" s="8">
        <v>0</v>
      </c>
      <c r="D26" s="5">
        <f t="shared" si="7"/>
        <v>0</v>
      </c>
      <c r="E26" s="9">
        <f>SUMIFS(Item!$F$2:$F$1003,Item!$A$2:$A$1003,$B$3,Item!$E$2:$E$1003,$A26)+SUMIFS(Item!$F$2:$F$1003,Item!$A$2:$A$1003,$B$4,Item!$E$2:$E$1003,$A26)+SUMIFS(Item!$F$2:$F$1003,Item!$A$2:$A$1003,$B$5,Item!$E$2:$E$1003,$A26)+SUMIFS(Item!$F$2:$F$1003,Item!$A$2:$A$1003,$B$6,Item!$E$2:$E$1003,$A26)</f>
        <v>0</v>
      </c>
      <c r="F26" s="5">
        <f t="shared" si="8"/>
        <v>0</v>
      </c>
      <c r="G26">
        <v>209.33</v>
      </c>
      <c r="H26" s="6">
        <f t="shared" si="9"/>
        <v>0</v>
      </c>
    </row>
    <row r="27" spans="1:8">
      <c r="A27" t="s">
        <v>494</v>
      </c>
      <c r="B27" s="8">
        <f t="shared" si="0"/>
        <v>0</v>
      </c>
      <c r="C27" s="8">
        <v>0</v>
      </c>
      <c r="D27" s="5">
        <f t="shared" si="7"/>
        <v>0</v>
      </c>
      <c r="E27" s="9">
        <f>SUMIFS(Item!$F$2:$F$1003,Item!$A$2:$A$1003,$B$3,Item!$E$2:$E$1003,$A27)+SUMIFS(Item!$F$2:$F$1003,Item!$A$2:$A$1003,$B$4,Item!$E$2:$E$1003,$A27)+SUMIFS(Item!$F$2:$F$1003,Item!$A$2:$A$1003,$B$5,Item!$E$2:$E$1003,$A27)+SUMIFS(Item!$F$2:$F$1003,Item!$A$2:$A$1003,$B$6,Item!$E$2:$E$1003,$A27)</f>
        <v>0</v>
      </c>
      <c r="F27" s="5">
        <f t="shared" si="8"/>
        <v>0</v>
      </c>
      <c r="G27">
        <v>291.54</v>
      </c>
      <c r="H27" s="6">
        <f t="shared" si="9"/>
        <v>0</v>
      </c>
    </row>
    <row r="28" spans="1:8">
      <c r="A28" s="10" t="s">
        <v>701</v>
      </c>
      <c r="B28" s="10"/>
      <c r="C28" s="10"/>
      <c r="D28" s="11">
        <f>SUM(D9:D27)</f>
        <v>170879</v>
      </c>
      <c r="E28" s="12"/>
      <c r="F28" s="11">
        <f>SUM(F9:F27)</f>
        <v>64212.4038461538</v>
      </c>
      <c r="G28" s="10"/>
      <c r="H28" s="11">
        <f>SUM(H9:H27)</f>
        <v>235091.403846154</v>
      </c>
    </row>
    <row r="29" spans="1:6">
      <c r="A29" t="s">
        <v>1034</v>
      </c>
      <c r="D29" s="12">
        <f>'Balanced Dummy '!D22-D28</f>
        <v>0</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32" customHeight="1" spans="1:12">
      <c r="A32" s="13" t="s">
        <v>1176</v>
      </c>
      <c r="B32" s="14">
        <v>200</v>
      </c>
      <c r="C32" s="36">
        <v>16325</v>
      </c>
      <c r="D32" s="14">
        <v>6</v>
      </c>
      <c r="E32" s="14" t="s">
        <v>1177</v>
      </c>
      <c r="F32" s="13" t="s">
        <v>855</v>
      </c>
      <c r="G32" s="13" t="s">
        <v>1178</v>
      </c>
      <c r="H32" s="13">
        <v>6</v>
      </c>
      <c r="I32" s="14" t="s">
        <v>1179</v>
      </c>
      <c r="J32" s="150" t="s">
        <v>1180</v>
      </c>
      <c r="K32" s="47">
        <f>-58%*20%*5</f>
        <v>-0.58</v>
      </c>
      <c r="L32" s="26">
        <f>8270*5+8270*5*0.6</f>
        <v>66160</v>
      </c>
    </row>
    <row r="33" ht="32" customHeight="1" spans="1:12">
      <c r="A33" s="13"/>
      <c r="B33" s="14"/>
      <c r="C33" s="36"/>
      <c r="D33" s="14"/>
      <c r="E33" s="14"/>
      <c r="F33" s="13"/>
      <c r="G33" s="13"/>
      <c r="H33" s="13"/>
      <c r="I33" s="13" t="s">
        <v>1101</v>
      </c>
      <c r="J33" s="13" t="s">
        <v>1181</v>
      </c>
      <c r="K33" s="14">
        <f>1.654*1000*10%*5</f>
        <v>827</v>
      </c>
      <c r="L33" s="26"/>
    </row>
    <row r="34" ht="30" customHeight="1" spans="1:12">
      <c r="A34" s="13" t="s">
        <v>1182</v>
      </c>
      <c r="B34" s="13" t="s">
        <v>1183</v>
      </c>
      <c r="C34" s="14">
        <f>4000/4</f>
        <v>1000</v>
      </c>
      <c r="D34" s="13">
        <v>2</v>
      </c>
      <c r="E34" s="13" t="s">
        <v>1184</v>
      </c>
      <c r="F34" s="13" t="s">
        <v>1185</v>
      </c>
      <c r="G34" s="13" t="s">
        <v>1186</v>
      </c>
      <c r="H34" s="13">
        <v>1</v>
      </c>
      <c r="I34" s="13" t="s">
        <v>1187</v>
      </c>
      <c r="J34" s="13" t="s">
        <v>1052</v>
      </c>
      <c r="K34" s="47">
        <f>2%*5</f>
        <v>0.1</v>
      </c>
      <c r="L34" s="46"/>
    </row>
    <row r="35" ht="30" customHeight="1" spans="1:12">
      <c r="A35" s="13"/>
      <c r="B35" s="13"/>
      <c r="C35" s="14"/>
      <c r="D35" s="13"/>
      <c r="E35" s="13"/>
      <c r="F35" s="13"/>
      <c r="G35" s="13"/>
      <c r="H35" s="13"/>
      <c r="I35" s="13" t="s">
        <v>1188</v>
      </c>
      <c r="J35" s="13" t="s">
        <v>1189</v>
      </c>
      <c r="K35" s="47">
        <f>2.4%*5</f>
        <v>0.12</v>
      </c>
      <c r="L35" s="46"/>
    </row>
    <row r="36" ht="30" customHeight="1" spans="1:12">
      <c r="A36" s="13"/>
      <c r="B36" s="13"/>
      <c r="C36" s="14"/>
      <c r="D36" s="13"/>
      <c r="E36" s="13"/>
      <c r="F36" s="13"/>
      <c r="G36" s="13"/>
      <c r="H36" s="13"/>
      <c r="I36" s="13" t="s">
        <v>1190</v>
      </c>
      <c r="J36" s="13">
        <v>100</v>
      </c>
      <c r="K36" s="51">
        <v>100</v>
      </c>
      <c r="L36" s="46"/>
    </row>
    <row r="37" ht="48" customHeight="1" spans="1:12">
      <c r="A37" s="13" t="s">
        <v>1191</v>
      </c>
      <c r="B37" s="13">
        <v>200</v>
      </c>
      <c r="C37" s="36">
        <v>3652</v>
      </c>
      <c r="D37" s="13">
        <v>6</v>
      </c>
      <c r="E37" s="13" t="s">
        <v>1192</v>
      </c>
      <c r="F37" s="13" t="s">
        <v>1193</v>
      </c>
      <c r="G37" s="13" t="s">
        <v>849</v>
      </c>
      <c r="H37" s="13">
        <v>12</v>
      </c>
      <c r="I37" s="13" t="s">
        <v>1194</v>
      </c>
      <c r="J37" s="13" t="s">
        <v>1195</v>
      </c>
      <c r="K37" s="54">
        <f>13%*5</f>
        <v>0.65</v>
      </c>
      <c r="L37" s="26">
        <v>8270</v>
      </c>
    </row>
    <row r="38" ht="48" customHeight="1" spans="1:12">
      <c r="A38" s="13"/>
      <c r="B38" s="13"/>
      <c r="C38" s="36"/>
      <c r="D38" s="13"/>
      <c r="E38" s="13"/>
      <c r="F38" s="13"/>
      <c r="G38" s="13"/>
      <c r="H38" s="13"/>
      <c r="I38" s="50" t="s">
        <v>1196</v>
      </c>
      <c r="J38" s="50" t="s">
        <v>1197</v>
      </c>
      <c r="K38" s="51">
        <f>4000*5</f>
        <v>20000</v>
      </c>
      <c r="L38" s="46"/>
    </row>
    <row r="40" ht="45" spans="1:8">
      <c r="A40" s="41" t="s">
        <v>1069</v>
      </c>
      <c r="B40" s="41" t="s">
        <v>1198</v>
      </c>
      <c r="C40" s="41" t="s">
        <v>1199</v>
      </c>
      <c r="D40" s="41" t="s">
        <v>1200</v>
      </c>
      <c r="E40" s="43" t="s">
        <v>1073</v>
      </c>
      <c r="F40" s="43" t="s">
        <v>1201</v>
      </c>
      <c r="G40" s="43" t="s">
        <v>1202</v>
      </c>
      <c r="H40" s="43" t="s">
        <v>1119</v>
      </c>
    </row>
    <row r="41" ht="60" spans="1:8">
      <c r="A41" s="41"/>
      <c r="B41" s="41"/>
      <c r="C41" s="41"/>
      <c r="D41" s="41"/>
      <c r="E41" s="43" t="s">
        <v>1120</v>
      </c>
      <c r="F41" s="43" t="s">
        <v>1203</v>
      </c>
      <c r="G41" s="43" t="s">
        <v>1204</v>
      </c>
      <c r="H41" s="43" t="s">
        <v>1205</v>
      </c>
    </row>
    <row r="42" ht="45" spans="1:10">
      <c r="A42" s="41" t="s">
        <v>1081</v>
      </c>
      <c r="B42" s="41" t="s">
        <v>1206</v>
      </c>
      <c r="C42" s="41" t="s">
        <v>1207</v>
      </c>
      <c r="D42" s="41" t="s">
        <v>1208</v>
      </c>
      <c r="E42" s="43" t="s">
        <v>1209</v>
      </c>
      <c r="F42" s="43" t="s">
        <v>1210</v>
      </c>
      <c r="G42" s="53" t="s">
        <v>1211</v>
      </c>
      <c r="H42" s="43" t="s">
        <v>1212</v>
      </c>
      <c r="I42" s="55"/>
      <c r="J42" s="52"/>
    </row>
    <row r="43" ht="60" spans="1:10">
      <c r="A43" s="41"/>
      <c r="B43" s="41"/>
      <c r="C43" s="41"/>
      <c r="D43" s="41"/>
      <c r="E43" s="43" t="s">
        <v>1213</v>
      </c>
      <c r="F43" s="43" t="s">
        <v>1214</v>
      </c>
      <c r="G43" s="43" t="s">
        <v>1215</v>
      </c>
      <c r="H43" s="43" t="s">
        <v>1216</v>
      </c>
      <c r="I43" s="55"/>
      <c r="J43" s="52"/>
    </row>
    <row r="51" spans="5:5">
      <c r="E51" s="7"/>
    </row>
  </sheetData>
  <mergeCells count="34">
    <mergeCell ref="A32:A33"/>
    <mergeCell ref="A34:A36"/>
    <mergeCell ref="A37:A38"/>
    <mergeCell ref="A40:A41"/>
    <mergeCell ref="A42:A43"/>
    <mergeCell ref="B32:B33"/>
    <mergeCell ref="B34:B36"/>
    <mergeCell ref="B37:B38"/>
    <mergeCell ref="B40:B41"/>
    <mergeCell ref="B42:B43"/>
    <mergeCell ref="C32:C33"/>
    <mergeCell ref="C34:C36"/>
    <mergeCell ref="C37:C38"/>
    <mergeCell ref="C40:C41"/>
    <mergeCell ref="C42:C43"/>
    <mergeCell ref="D32:D33"/>
    <mergeCell ref="D34:D36"/>
    <mergeCell ref="D37:D38"/>
    <mergeCell ref="D40:D41"/>
    <mergeCell ref="D42:D43"/>
    <mergeCell ref="E32:E33"/>
    <mergeCell ref="E34:E36"/>
    <mergeCell ref="E37:E38"/>
    <mergeCell ref="F32:F33"/>
    <mergeCell ref="F34:F36"/>
    <mergeCell ref="F37:F38"/>
    <mergeCell ref="G32:G33"/>
    <mergeCell ref="G34:G36"/>
    <mergeCell ref="G37:G38"/>
    <mergeCell ref="H32:H33"/>
    <mergeCell ref="H34:H36"/>
    <mergeCell ref="H37:H38"/>
    <mergeCell ref="L32:L33"/>
    <mergeCell ref="L37:L38"/>
  </mergeCells>
  <pageMargins left="0.7" right="0.7" top="0.75" bottom="0.75" header="0.3" footer="0.3"/>
  <headerFooter/>
  <ignoredErrors>
    <ignoredError sqref="B12" formula="1"/>
  </ignoredError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5"/>
  <sheetViews>
    <sheetView topLeftCell="A37" workbookViewId="0">
      <selection activeCell="I45" sqref="I45"/>
    </sheetView>
  </sheetViews>
  <sheetFormatPr defaultColWidth="9.14285714285714" defaultRowHeight="15"/>
  <cols>
    <col min="1" max="1" width="22.5714285714286" customWidth="1"/>
    <col min="2" max="2" width="12.4285714285714" customWidth="1"/>
    <col min="3" max="3" width="24.5714285714286" customWidth="1"/>
    <col min="4" max="4" width="16.2857142857143" customWidth="1"/>
    <col min="5" max="5" width="39.5714285714286" customWidth="1"/>
    <col min="6" max="6" width="23.2857142857143" customWidth="1"/>
    <col min="7" max="7" width="26.2857142857143" customWidth="1"/>
    <col min="8" max="8" width="24.1428571428571" customWidth="1"/>
    <col min="9" max="9" width="23.8571428571429" customWidth="1"/>
    <col min="10" max="10" width="19.2857142857143" customWidth="1"/>
    <col min="11" max="11" width="10" style="25" customWidth="1"/>
    <col min="12" max="12" width="16" customWidth="1"/>
    <col min="13" max="13" width="13.4285714285714" customWidth="1"/>
    <col min="14" max="14" width="11" customWidth="1"/>
    <col min="15" max="15" width="13.4285714285714" customWidth="1"/>
    <col min="16" max="16" width="11" customWidth="1"/>
    <col min="17" max="17" width="13.4285714285714" customWidth="1"/>
    <col min="18" max="18" width="11" customWidth="1"/>
    <col min="19" max="19" width="13.4285714285714" customWidth="1"/>
    <col min="20" max="20" width="11" customWidth="1"/>
    <col min="21" max="21" width="13.4285714285714" customWidth="1"/>
    <col min="22" max="22" width="11" customWidth="1"/>
    <col min="23" max="23" width="13.4285714285714" customWidth="1"/>
    <col min="24" max="24" width="11" customWidth="1"/>
    <col min="25" max="25" width="13.4285714285714" customWidth="1"/>
    <col min="26" max="26" width="11" customWidth="1"/>
    <col min="27" max="27" width="13.4285714285714" customWidth="1"/>
    <col min="28" max="28" width="11" customWidth="1"/>
    <col min="29" max="29" width="13.4285714285714" customWidth="1"/>
    <col min="30" max="30" width="11" customWidth="1"/>
    <col min="31" max="31" width="13.4285714285714" customWidth="1"/>
    <col min="32" max="32" width="11" customWidth="1"/>
  </cols>
  <sheetData>
    <row r="1" spans="1:2">
      <c r="A1" t="s">
        <v>1022</v>
      </c>
      <c r="B1" t="s">
        <v>1217</v>
      </c>
    </row>
    <row r="2" spans="1:2">
      <c r="A2" t="s">
        <v>1024</v>
      </c>
      <c r="B2" t="s">
        <v>1218</v>
      </c>
    </row>
    <row r="3" spans="1:2">
      <c r="A3" t="s">
        <v>1026</v>
      </c>
      <c r="B3" s="1" t="s">
        <v>1219</v>
      </c>
    </row>
    <row r="4" spans="1:2">
      <c r="A4" t="s">
        <v>1027</v>
      </c>
      <c r="B4" s="35" t="s">
        <v>868</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 t="shared" ref="B9:B11" si="0">SUM(C9,E9)</f>
        <v>42034</v>
      </c>
      <c r="C9" s="5">
        <v>24800</v>
      </c>
      <c r="D9" s="5">
        <f t="shared" ref="D9:D11" si="1">C9*G9</f>
        <v>24800</v>
      </c>
      <c r="E9" s="6">
        <f>SUMIFS(Item!$F$2:$F$1003,Item!$A$2:$A$1003,$B$3,Item!$E$2:$E$1003,$A9)+SUMIFS(Item!$F$2:$F$1003,Item!$A$2:$A$1003,$B$4,Item!$E$2:$E$1003,$A9)+SUMIFS(Item!$F$2:$F$1003,Item!$A$2:$A$1003,$B$5,Item!$E$2:$E$1003,$A9)+SUMIFS(Item!$F$2:$F$1003,Item!$A$2:$A$1003,$B$6,Item!$E$2:$E$1003,$A9)</f>
        <v>17234</v>
      </c>
      <c r="F9" s="5">
        <f t="shared" ref="F9:F11" si="2">E9*G9</f>
        <v>17234</v>
      </c>
      <c r="G9">
        <v>1</v>
      </c>
      <c r="H9" s="6">
        <f t="shared" ref="H9:H11" si="3">B9*G9</f>
        <v>42034</v>
      </c>
    </row>
    <row r="10" spans="1:8">
      <c r="A10" t="s">
        <v>452</v>
      </c>
      <c r="B10" s="5">
        <f t="shared" si="0"/>
        <v>41000</v>
      </c>
      <c r="C10" s="5">
        <v>20470</v>
      </c>
      <c r="D10" s="5">
        <f t="shared" si="1"/>
        <v>4094</v>
      </c>
      <c r="E10" s="6">
        <f>SUMIFS(Item!$F$2:$F$1003,Item!$A$2:$A$1003,$B$3,Item!$E$2:$E$1003,$A10)+SUMIFS(Item!$F$2:$F$1003,Item!$A$2:$A$1003,$B$4,Item!$E$2:$E$1003,$A10)+SUMIFS(Item!$F$2:$F$1003,Item!$A$2:$A$1003,$B$5,Item!$E$2:$E$1003,$A10)+SUMIFS(Item!$F$2:$F$1003,Item!$A$2:$A$1003,$B$6,Item!$E$2:$E$1003,$A10)</f>
        <v>20530</v>
      </c>
      <c r="F10" s="5">
        <f t="shared" si="2"/>
        <v>4106</v>
      </c>
      <c r="G10">
        <v>0.2</v>
      </c>
      <c r="H10" s="6">
        <f t="shared" si="3"/>
        <v>8200</v>
      </c>
    </row>
    <row r="11" spans="1:8">
      <c r="A11" t="s">
        <v>455</v>
      </c>
      <c r="B11" s="5">
        <f t="shared" si="0"/>
        <v>3214.7792706334</v>
      </c>
      <c r="C11" s="5">
        <f>17058/G11</f>
        <v>1637.04414587332</v>
      </c>
      <c r="D11" s="5">
        <f t="shared" si="1"/>
        <v>17058</v>
      </c>
      <c r="E11" s="6">
        <f>SUMIFS(Item!$F$2:$F$1003,Item!$A$2:$A$1003,$B$3,Item!$E$2:$E$1003,$A11)+SUMIFS(Item!$F$2:$F$1003,Item!$A$2:$A$1003,$B$4,Item!$E$2:$E$1003,$A11)+SUMIFS(Item!$F$2:$F$1003,Item!$A$2:$A$1003,$B$5,Item!$E$2:$E$1003,$A11)+SUMIFS(Item!$F$2:$F$1003,Item!$A$2:$A$1003,$B$6,Item!$E$2:$E$1003,$A11)</f>
        <v>1577.73512476008</v>
      </c>
      <c r="F11" s="5">
        <f t="shared" si="2"/>
        <v>16440</v>
      </c>
      <c r="G11">
        <v>10.42</v>
      </c>
      <c r="H11" s="6">
        <f t="shared" si="3"/>
        <v>33498</v>
      </c>
    </row>
    <row r="12" spans="1:8">
      <c r="A12" t="s">
        <v>1138</v>
      </c>
      <c r="B12" s="5">
        <f>B11*B17*(1+B19*B20)</f>
        <v>6365.26295585412</v>
      </c>
      <c r="C12" s="5"/>
      <c r="D12" s="5"/>
      <c r="E12" s="6"/>
      <c r="F12" s="5"/>
      <c r="H12" s="6"/>
    </row>
    <row r="13" spans="1:8">
      <c r="A13" t="s">
        <v>459</v>
      </c>
      <c r="B13" s="5">
        <f t="shared" ref="B13:B27" si="4">SUM(C13,E13)</f>
        <v>905</v>
      </c>
      <c r="C13" s="5">
        <v>405</v>
      </c>
      <c r="D13" s="5">
        <f>C13*G13</f>
        <v>2814.75</v>
      </c>
      <c r="E13" s="6">
        <f>SUMIFS(Item!$F$2:$F$1003,Item!$A$2:$A$1003,$B$3,Item!$E$2:$E$1003,$A13)+SUMIFS(Item!$F$2:$F$1003,Item!$A$2:$A$1003,$B$4,Item!$E$2:$E$1003,$A13)+SUMIFS(Item!$F$2:$F$1003,Item!$A$2:$A$1003,$B$5,Item!$E$2:$E$1003,$A13)+SUMIFS(Item!$F$2:$F$1003,Item!$A$2:$A$1003,$B$6,Item!$E$2:$E$1003,$A13)</f>
        <v>500</v>
      </c>
      <c r="F13" s="5">
        <f>E13*G13</f>
        <v>3475</v>
      </c>
      <c r="G13">
        <v>6.95</v>
      </c>
      <c r="H13" s="6">
        <f>B13*G13</f>
        <v>6289.75</v>
      </c>
    </row>
    <row r="14" spans="1:8">
      <c r="A14" t="s">
        <v>467</v>
      </c>
      <c r="B14" s="5">
        <f t="shared" si="4"/>
        <v>890</v>
      </c>
      <c r="C14" s="5">
        <v>390</v>
      </c>
      <c r="D14" s="5">
        <f>C14*G14</f>
        <v>5682.3</v>
      </c>
      <c r="E14" s="6">
        <f>SUMIFS(Item!$F$2:$F$1003,Item!$A$2:$A$1003,$B$3,Item!$E$2:$E$1003,$A14)+SUMIFS(Item!$F$2:$F$1003,Item!$A$2:$A$1003,$B$4,Item!$E$2:$E$1003,$A14)+SUMIFS(Item!$F$2:$F$1003,Item!$A$2:$A$1003,$B$5,Item!$E$2:$E$1003,$A14)+SUMIFS(Item!$F$2:$F$1003,Item!$A$2:$A$1003,$B$6,Item!$E$2:$E$1003,$A14)</f>
        <v>500</v>
      </c>
      <c r="F14" s="5">
        <f>E14*G14</f>
        <v>7285</v>
      </c>
      <c r="G14">
        <v>14.57</v>
      </c>
      <c r="H14" s="6">
        <f>B14*G14</f>
        <v>12967.3</v>
      </c>
    </row>
    <row r="15" spans="1:10">
      <c r="A15" t="s">
        <v>564</v>
      </c>
      <c r="B15" s="7">
        <f>B13/(B13+1000)</f>
        <v>0.4750656167979</v>
      </c>
      <c r="C15" s="5"/>
      <c r="D15" s="5"/>
      <c r="E15" s="6"/>
      <c r="F15" s="5"/>
      <c r="H15" s="6"/>
      <c r="J15" s="7"/>
    </row>
    <row r="16" spans="1:10">
      <c r="A16" t="s">
        <v>688</v>
      </c>
      <c r="B16" s="7">
        <f>B14/(B14+1000)</f>
        <v>0.470899470899471</v>
      </c>
      <c r="C16" s="5"/>
      <c r="D16" s="5"/>
      <c r="E16" s="6"/>
      <c r="F16" s="5"/>
      <c r="H16" s="6"/>
      <c r="J16" s="7"/>
    </row>
    <row r="17" spans="1:8">
      <c r="A17" t="s">
        <v>482</v>
      </c>
      <c r="B17" s="8">
        <f t="shared" si="4"/>
        <v>1.65</v>
      </c>
      <c r="C17" s="8">
        <v>1.2</v>
      </c>
      <c r="D17" s="5">
        <f t="shared" ref="D17:D20" si="5">C17*G17*100</f>
        <v>20880</v>
      </c>
      <c r="E17" s="9">
        <f>SUMIFS(Item!$F$2:$F$1003,Item!$A$2:$A$1003,$B$3,Item!$E$2:$E$1003,$A17)+SUMIFS(Item!$F$2:$F$1003,Item!$A$2:$A$1003,$B$4,Item!$E$2:$E$1003,$A17)+SUMIFS(Item!$F$2:$F$1003,Item!$A$2:$A$1003,$B$5,Item!$E$2:$E$1003,$A17)+SUMIFS(Item!$F$2:$F$1003,Item!$A$2:$A$1003,$B$6,Item!$E$2:$E$1003,$A17)</f>
        <v>0.45</v>
      </c>
      <c r="F17" s="5">
        <f t="shared" ref="F17:F20" si="6">E17*G17*100</f>
        <v>7830</v>
      </c>
      <c r="G17">
        <v>174</v>
      </c>
      <c r="H17" s="6">
        <f t="shared" ref="H17:H20" si="7">B17*G17*100</f>
        <v>28710</v>
      </c>
    </row>
    <row r="18" spans="1:8">
      <c r="A18" t="s">
        <v>689</v>
      </c>
      <c r="B18" s="8">
        <f t="shared" si="4"/>
        <v>0.35</v>
      </c>
      <c r="C18" s="8">
        <v>0.15</v>
      </c>
      <c r="D18" s="5">
        <f t="shared" si="5"/>
        <v>2610</v>
      </c>
      <c r="E18" s="9">
        <f>SUMIFS(Item!$F$2:$F$1003,Item!$A$2:$A$1003,$B$3,Item!$E$2:$E$1003,$A18)+SUMIFS(Item!$F$2:$F$1003,Item!$A$2:$A$1003,$B$4,Item!$E$2:$E$1003,$A18)+SUMIFS(Item!$F$2:$F$1003,Item!$A$2:$A$1003,$B$5,Item!$E$2:$E$1003,$A18)+SUMIFS(Item!$F$2:$F$1003,Item!$A$2:$A$1003,$B$6,Item!$E$2:$E$1003,$A18)</f>
        <v>0.2</v>
      </c>
      <c r="F18" s="5">
        <f t="shared" si="6"/>
        <v>3480</v>
      </c>
      <c r="G18">
        <v>174</v>
      </c>
      <c r="H18" s="6">
        <f t="shared" si="7"/>
        <v>6090</v>
      </c>
    </row>
    <row r="19" spans="1:8">
      <c r="A19" t="s">
        <v>474</v>
      </c>
      <c r="B19" s="8">
        <f t="shared" si="4"/>
        <v>0.4</v>
      </c>
      <c r="C19" s="8">
        <v>0.15</v>
      </c>
      <c r="D19" s="5">
        <f t="shared" si="5"/>
        <v>2610</v>
      </c>
      <c r="E19" s="9">
        <f>SUMIFS(Item!$F$2:$F$1003,Item!$A$2:$A$1003,$B$3,Item!$E$2:$E$1003,$A19)+SUMIFS(Item!$F$2:$F$1003,Item!$A$2:$A$1003,$B$4,Item!$E$2:$E$1003,$A19)+SUMIFS(Item!$F$2:$F$1003,Item!$A$2:$A$1003,$B$5,Item!$E$2:$E$1003,$A19)+SUMIFS(Item!$F$2:$F$1003,Item!$A$2:$A$1003,$B$6,Item!$E$2:$E$1003,$A19)</f>
        <v>0.25</v>
      </c>
      <c r="F19" s="5">
        <f t="shared" si="6"/>
        <v>4350</v>
      </c>
      <c r="G19">
        <v>174</v>
      </c>
      <c r="H19" s="6">
        <f t="shared" si="7"/>
        <v>6960</v>
      </c>
    </row>
    <row r="20" spans="1:8">
      <c r="A20" t="s">
        <v>478</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90</v>
      </c>
      <c r="C21" s="5">
        <v>90</v>
      </c>
      <c r="D21" s="5">
        <f t="shared" ref="D21:D24" si="8">C21*G21</f>
        <v>45000</v>
      </c>
      <c r="E21" s="6">
        <f>SUMIFS(Item!$F$2:$F$1003,Item!$A$2:$A$1003,$B$3,Item!$E$2:$E$1003,$A21)+SUMIFS(Item!$F$2:$F$1003,Item!$A$2:$A$1003,$B$4,Item!$E$2:$E$1003,$A21)+SUMIFS(Item!$F$2:$F$1003,Item!$A$2:$A$1003,$B$5,Item!$E$2:$E$1003,$A21)+SUMIFS(Item!$F$2:$F$1003,Item!$A$2:$A$1003,$B$6,Item!$E$2:$E$1003,$A21)</f>
        <v>0</v>
      </c>
      <c r="F21" s="5">
        <f t="shared" ref="F21:F24" si="9">E21*G21</f>
        <v>0</v>
      </c>
      <c r="G21">
        <v>500</v>
      </c>
      <c r="H21" s="6">
        <f t="shared" ref="H21:H24" si="10">B21*G21</f>
        <v>45000</v>
      </c>
    </row>
    <row r="22" spans="1:8">
      <c r="A22" t="s">
        <v>502</v>
      </c>
      <c r="B22" s="5">
        <f t="shared" si="4"/>
        <v>4</v>
      </c>
      <c r="C22" s="5">
        <v>4</v>
      </c>
      <c r="D22" s="5">
        <f t="shared" si="8"/>
        <v>7400</v>
      </c>
      <c r="E22" s="6">
        <f>SUMIFS(Item!$F$2:$F$1003,Item!$A$2:$A$1003,$B$3,Item!$E$2:$E$1003,$A22)+SUMIFS(Item!$F$2:$F$1003,Item!$A$2:$A$1003,$B$4,Item!$E$2:$E$1003,$A22)+SUMIFS(Item!$F$2:$F$1003,Item!$A$2:$A$1003,$B$5,Item!$E$2:$E$1003,$A22)+SUMIFS(Item!$F$2:$F$1003,Item!$A$2:$A$1003,$B$6,Item!$E$2:$E$1003,$A22)</f>
        <v>0</v>
      </c>
      <c r="F22" s="5">
        <f t="shared" si="9"/>
        <v>0</v>
      </c>
      <c r="G22">
        <v>1850</v>
      </c>
      <c r="H22" s="6">
        <f t="shared" si="10"/>
        <v>7400</v>
      </c>
    </row>
    <row r="23" spans="1:8">
      <c r="A23" t="s">
        <v>691</v>
      </c>
      <c r="B23" s="5">
        <f t="shared" si="4"/>
        <v>0</v>
      </c>
      <c r="C23" s="5">
        <v>0</v>
      </c>
      <c r="D23" s="5">
        <f t="shared" si="8"/>
        <v>0</v>
      </c>
      <c r="E23" s="6">
        <f>SUMIFS(Item!$F$2:$F$1003,Item!$A$2:$A$1003,$B$3,Item!$E$2:$E$1003,$A23)+SUMIFS(Item!$F$2:$F$1003,Item!$A$2:$A$1003,$B$4,Item!$E$2:$E$1003,$A23)+SUMIFS(Item!$F$2:$F$1003,Item!$A$2:$A$1003,$B$5,Item!$E$2:$E$1003,$A23)+SUMIFS(Item!$F$2:$F$1003,Item!$A$2:$A$1003,$B$6,Item!$E$2:$E$1003,$A23)</f>
        <v>0</v>
      </c>
      <c r="F23" s="5">
        <f t="shared" si="9"/>
        <v>0</v>
      </c>
      <c r="G23">
        <v>9600</v>
      </c>
      <c r="H23" s="6">
        <f t="shared" si="10"/>
        <v>0</v>
      </c>
    </row>
    <row r="24" spans="1:8">
      <c r="A24" t="s">
        <v>692</v>
      </c>
      <c r="B24" s="5">
        <f t="shared" si="4"/>
        <v>10</v>
      </c>
      <c r="C24" s="5">
        <v>10</v>
      </c>
      <c r="D24" s="5">
        <f t="shared" si="8"/>
        <v>15260</v>
      </c>
      <c r="E24" s="6">
        <f>SUMIFS(Item!$F$2:$F$1003,Item!$A$2:$A$1003,$B$3,Item!$E$2:$E$1003,$A24)+SUMIFS(Item!$F$2:$F$1003,Item!$A$2:$A$1003,$B$4,Item!$E$2:$E$1003,$A24)+SUMIFS(Item!$F$2:$F$1003,Item!$A$2:$A$1003,$B$5,Item!$E$2:$E$1003,$A24)+SUMIFS(Item!$F$2:$F$1003,Item!$A$2:$A$1003,$B$6,Item!$E$2:$E$1003,$A24)</f>
        <v>0</v>
      </c>
      <c r="F24" s="5">
        <f t="shared" si="9"/>
        <v>0</v>
      </c>
      <c r="G24">
        <v>1526</v>
      </c>
      <c r="H24" s="6">
        <f t="shared" si="10"/>
        <v>15260</v>
      </c>
    </row>
    <row r="25" spans="1:8">
      <c r="A25" t="s">
        <v>486</v>
      </c>
      <c r="B25" s="8">
        <f t="shared" si="4"/>
        <v>1</v>
      </c>
      <c r="C25" s="8">
        <v>1</v>
      </c>
      <c r="D25" s="5">
        <f t="shared" ref="D25:D27" si="11">C25*G25*100</f>
        <v>20933</v>
      </c>
      <c r="E25" s="9">
        <f>SUMIFS(Item!$F$2:$F$1003,Item!$A$2:$A$1003,$B$3,Item!$E$2:$E$1003,$A25)+SUMIFS(Item!$F$2:$F$1003,Item!$A$2:$A$1003,$B$4,Item!$E$2:$E$1003,$A25)+SUMIFS(Item!$F$2:$F$1003,Item!$A$2:$A$1003,$B$5,Item!$E$2:$E$1003,$A25)+SUMIFS(Item!$F$2:$F$1003,Item!$A$2:$A$1003,$B$6,Item!$E$2:$E$1003,$A25)</f>
        <v>0</v>
      </c>
      <c r="F25" s="5">
        <f t="shared" ref="F25:F27" si="12">E25*G25*100</f>
        <v>0</v>
      </c>
      <c r="G25">
        <v>209.33</v>
      </c>
      <c r="H25" s="6">
        <f t="shared" ref="H25:H27" si="13">B25*G25*100</f>
        <v>20933</v>
      </c>
    </row>
    <row r="26" spans="1:8">
      <c r="A26" t="s">
        <v>490</v>
      </c>
      <c r="B26" s="8">
        <f t="shared" si="4"/>
        <v>0</v>
      </c>
      <c r="C26" s="8">
        <v>0</v>
      </c>
      <c r="D26" s="5">
        <f t="shared" si="11"/>
        <v>0</v>
      </c>
      <c r="E26" s="9">
        <f>SUMIFS(Item!$F$2:$F$1003,Item!$A$2:$A$1003,$B$3,Item!$E$2:$E$1003,$A26)+SUMIFS(Item!$F$2:$F$1003,Item!$A$2:$A$1003,$B$4,Item!$E$2:$E$1003,$A26)+SUMIFS(Item!$F$2:$F$1003,Item!$A$2:$A$1003,$B$5,Item!$E$2:$E$1003,$A26)+SUMIFS(Item!$F$2:$F$1003,Item!$A$2:$A$1003,$B$6,Item!$E$2:$E$1003,$A26)</f>
        <v>0</v>
      </c>
      <c r="F26" s="5">
        <f t="shared" si="12"/>
        <v>0</v>
      </c>
      <c r="G26">
        <v>209.33</v>
      </c>
      <c r="H26" s="6">
        <f t="shared" si="13"/>
        <v>0</v>
      </c>
    </row>
    <row r="27" spans="1:8">
      <c r="A27" t="s">
        <v>494</v>
      </c>
      <c r="B27" s="8">
        <f t="shared" si="4"/>
        <v>0</v>
      </c>
      <c r="C27" s="8">
        <v>0</v>
      </c>
      <c r="D27" s="5">
        <f t="shared" si="11"/>
        <v>0</v>
      </c>
      <c r="E27" s="9">
        <f>SUMIFS(Item!$F$2:$F$1003,Item!$A$2:$A$1003,$B$3,Item!$E$2:$E$1003,$A27)+SUMIFS(Item!$F$2:$F$1003,Item!$A$2:$A$1003,$B$4,Item!$E$2:$E$1003,$A27)+SUMIFS(Item!$F$2:$F$1003,Item!$A$2:$A$1003,$B$5,Item!$E$2:$E$1003,$A27)+SUMIFS(Item!$F$2:$F$1003,Item!$A$2:$A$1003,$B$6,Item!$E$2:$E$1003,$A27)</f>
        <v>0</v>
      </c>
      <c r="F27" s="5">
        <f t="shared" si="12"/>
        <v>0</v>
      </c>
      <c r="G27">
        <v>291.54</v>
      </c>
      <c r="H27" s="6">
        <f t="shared" si="13"/>
        <v>0</v>
      </c>
    </row>
    <row r="28" spans="1:8">
      <c r="A28" s="10" t="s">
        <v>701</v>
      </c>
      <c r="B28" s="10"/>
      <c r="C28" s="10"/>
      <c r="D28" s="11">
        <f t="shared" ref="D28:H28" si="14">SUM(D9:D27)</f>
        <v>170879.05</v>
      </c>
      <c r="E28" s="12"/>
      <c r="F28" s="11">
        <f t="shared" si="14"/>
        <v>64200</v>
      </c>
      <c r="G28" s="10"/>
      <c r="H28" s="11">
        <f t="shared" si="14"/>
        <v>235079.05</v>
      </c>
    </row>
    <row r="29" spans="1:6">
      <c r="A29" t="s">
        <v>1034</v>
      </c>
      <c r="D29" s="12">
        <f>'Balanced Dummy '!D22-D28</f>
        <v>-0.0499999999883585</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62" customHeight="1" spans="1:12">
      <c r="A32" s="13" t="s">
        <v>1220</v>
      </c>
      <c r="B32" s="14">
        <v>200</v>
      </c>
      <c r="C32" s="36">
        <v>5894</v>
      </c>
      <c r="D32" s="14">
        <v>0</v>
      </c>
      <c r="E32" s="14" t="s">
        <v>1221</v>
      </c>
      <c r="F32" s="13" t="s">
        <v>1055</v>
      </c>
      <c r="G32" s="13"/>
      <c r="H32" s="13" t="s">
        <v>930</v>
      </c>
      <c r="I32" s="14" t="s">
        <v>1222</v>
      </c>
      <c r="J32" s="13" t="s">
        <v>1223</v>
      </c>
      <c r="K32" s="47">
        <f>50%+(10%*5)</f>
        <v>1</v>
      </c>
      <c r="L32" s="31"/>
    </row>
    <row r="33" ht="62" customHeight="1" spans="1:12">
      <c r="A33" s="13"/>
      <c r="B33" s="14"/>
      <c r="C33" s="36"/>
      <c r="D33" s="14"/>
      <c r="E33" s="14"/>
      <c r="F33" s="13"/>
      <c r="G33" s="13"/>
      <c r="H33" s="13"/>
      <c r="I33" s="13" t="s">
        <v>1224</v>
      </c>
      <c r="J33" s="13">
        <v>1</v>
      </c>
      <c r="K33" s="14">
        <v>1</v>
      </c>
      <c r="L33" s="32"/>
    </row>
    <row r="34" ht="30" spans="1:12">
      <c r="A34" s="13" t="s">
        <v>1225</v>
      </c>
      <c r="B34" s="14">
        <v>100</v>
      </c>
      <c r="C34" s="36">
        <v>10004</v>
      </c>
      <c r="D34" s="14">
        <v>6</v>
      </c>
      <c r="E34" s="14" t="s">
        <v>1226</v>
      </c>
      <c r="F34" s="13" t="s">
        <v>855</v>
      </c>
      <c r="G34" s="13" t="s">
        <v>1227</v>
      </c>
      <c r="H34" s="13">
        <v>6</v>
      </c>
      <c r="I34" s="13" t="s">
        <v>1228</v>
      </c>
      <c r="J34" s="13" t="s">
        <v>1229</v>
      </c>
      <c r="K34" s="47">
        <f>12%+(2.4%*5)</f>
        <v>0.24</v>
      </c>
      <c r="L34" s="31">
        <f>8270*2*2</f>
        <v>33080</v>
      </c>
    </row>
    <row r="35" ht="30" spans="1:12">
      <c r="A35" s="13"/>
      <c r="B35" s="14"/>
      <c r="C35" s="36"/>
      <c r="D35" s="14"/>
      <c r="E35" s="14"/>
      <c r="F35" s="13"/>
      <c r="G35" s="13"/>
      <c r="H35" s="13"/>
      <c r="I35" s="13" t="s">
        <v>1230</v>
      </c>
      <c r="J35" s="13">
        <v>1</v>
      </c>
      <c r="K35" s="47"/>
      <c r="L35" s="32"/>
    </row>
    <row r="36" ht="34" customHeight="1" spans="1:12">
      <c r="A36" s="13" t="s">
        <v>1231</v>
      </c>
      <c r="B36" s="13">
        <v>150</v>
      </c>
      <c r="C36" s="37">
        <v>20415</v>
      </c>
      <c r="D36" s="13">
        <v>6</v>
      </c>
      <c r="E36" s="13" t="s">
        <v>1232</v>
      </c>
      <c r="F36" s="13" t="s">
        <v>855</v>
      </c>
      <c r="G36" s="13" t="s">
        <v>1233</v>
      </c>
      <c r="H36" s="13"/>
      <c r="I36" s="13" t="s">
        <v>519</v>
      </c>
      <c r="J36" s="13" t="s">
        <v>1234</v>
      </c>
      <c r="K36" s="48">
        <f>1.654*1000*50%*5</f>
        <v>4135</v>
      </c>
      <c r="L36" s="31">
        <f>8270*5*2</f>
        <v>82700</v>
      </c>
    </row>
    <row r="37" ht="34" customHeight="1" spans="1:12">
      <c r="A37" s="13"/>
      <c r="B37" s="13"/>
      <c r="C37" s="37"/>
      <c r="D37" s="13"/>
      <c r="E37" s="13"/>
      <c r="F37" s="13"/>
      <c r="G37" s="13"/>
      <c r="H37" s="13"/>
      <c r="I37" s="13" t="s">
        <v>1235</v>
      </c>
      <c r="J37" s="13">
        <v>1</v>
      </c>
      <c r="K37" s="49">
        <v>1</v>
      </c>
      <c r="L37" s="32"/>
    </row>
    <row r="38" ht="75" customHeight="1" spans="1:12">
      <c r="A38" s="13" t="s">
        <v>1236</v>
      </c>
      <c r="B38" s="13">
        <v>200</v>
      </c>
      <c r="C38" s="36">
        <v>9150</v>
      </c>
      <c r="D38" s="13">
        <v>0</v>
      </c>
      <c r="E38" s="13" t="s">
        <v>1237</v>
      </c>
      <c r="F38" s="13" t="s">
        <v>1055</v>
      </c>
      <c r="G38" s="13"/>
      <c r="H38" s="13" t="s">
        <v>930</v>
      </c>
      <c r="I38" s="14" t="s">
        <v>1222</v>
      </c>
      <c r="J38" s="13" t="s">
        <v>1223</v>
      </c>
      <c r="K38" s="47">
        <f>50%+(10%*5)</f>
        <v>1</v>
      </c>
      <c r="L38" s="31"/>
    </row>
    <row r="39" ht="75" customHeight="1" spans="1:12">
      <c r="A39" s="13"/>
      <c r="B39" s="13"/>
      <c r="C39" s="36"/>
      <c r="D39" s="13"/>
      <c r="E39" s="13"/>
      <c r="F39" s="13"/>
      <c r="G39" s="13"/>
      <c r="H39" s="13"/>
      <c r="I39" s="50" t="s">
        <v>780</v>
      </c>
      <c r="J39" s="50">
        <v>1</v>
      </c>
      <c r="K39" s="51">
        <v>1</v>
      </c>
      <c r="L39" s="32"/>
    </row>
    <row r="41" ht="30" spans="1:8">
      <c r="A41" s="38" t="s">
        <v>1069</v>
      </c>
      <c r="B41" s="38" t="s">
        <v>1238</v>
      </c>
      <c r="C41" s="38" t="s">
        <v>1239</v>
      </c>
      <c r="D41" s="38" t="s">
        <v>1240</v>
      </c>
      <c r="E41" s="39" t="s">
        <v>1241</v>
      </c>
      <c r="F41" s="40" t="s">
        <v>1242</v>
      </c>
      <c r="G41" s="41"/>
      <c r="H41" s="41"/>
    </row>
    <row r="42" ht="60" spans="1:8">
      <c r="A42" s="42"/>
      <c r="B42" s="42"/>
      <c r="C42" s="42"/>
      <c r="D42" s="42"/>
      <c r="E42" s="43" t="s">
        <v>1243</v>
      </c>
      <c r="F42" s="43" t="s">
        <v>1244</v>
      </c>
      <c r="G42" s="40" t="s">
        <v>1245</v>
      </c>
      <c r="H42" s="44"/>
    </row>
    <row r="43" ht="60" spans="1:8">
      <c r="A43" s="45"/>
      <c r="B43" s="45"/>
      <c r="C43" s="45"/>
      <c r="D43" s="45"/>
      <c r="E43" s="39" t="s">
        <v>1246</v>
      </c>
      <c r="F43" s="40" t="s">
        <v>1247</v>
      </c>
      <c r="G43" s="43" t="s">
        <v>1248</v>
      </c>
      <c r="H43" s="41"/>
    </row>
    <row r="44" ht="45" spans="1:10">
      <c r="A44" s="41" t="s">
        <v>1081</v>
      </c>
      <c r="B44" s="41" t="s">
        <v>1249</v>
      </c>
      <c r="C44" s="41" t="s">
        <v>1250</v>
      </c>
      <c r="D44" s="41" t="s">
        <v>1251</v>
      </c>
      <c r="E44" s="43" t="s">
        <v>1252</v>
      </c>
      <c r="F44" s="43" t="s">
        <v>1253</v>
      </c>
      <c r="G44" s="39" t="s">
        <v>1254</v>
      </c>
      <c r="H44" s="40" t="s">
        <v>1255</v>
      </c>
      <c r="J44" s="52"/>
    </row>
    <row r="45" ht="60" spans="1:10">
      <c r="A45" s="41"/>
      <c r="B45" s="41"/>
      <c r="C45" s="41"/>
      <c r="D45" s="41"/>
      <c r="E45" s="43" t="s">
        <v>1256</v>
      </c>
      <c r="F45" s="39" t="s">
        <v>1257</v>
      </c>
      <c r="G45" s="43" t="s">
        <v>1258</v>
      </c>
      <c r="H45" s="40" t="s">
        <v>1259</v>
      </c>
      <c r="J45" s="52"/>
    </row>
  </sheetData>
  <mergeCells count="44">
    <mergeCell ref="A32:A33"/>
    <mergeCell ref="A34:A35"/>
    <mergeCell ref="A36:A37"/>
    <mergeCell ref="A38:A39"/>
    <mergeCell ref="A41:A43"/>
    <mergeCell ref="A44:A45"/>
    <mergeCell ref="B32:B33"/>
    <mergeCell ref="B34:B35"/>
    <mergeCell ref="B36:B37"/>
    <mergeCell ref="B38:B39"/>
    <mergeCell ref="B41:B43"/>
    <mergeCell ref="B44:B45"/>
    <mergeCell ref="C32:C33"/>
    <mergeCell ref="C34:C35"/>
    <mergeCell ref="C36:C37"/>
    <mergeCell ref="C38:C39"/>
    <mergeCell ref="C41:C43"/>
    <mergeCell ref="C44:C45"/>
    <mergeCell ref="D32:D33"/>
    <mergeCell ref="D34:D35"/>
    <mergeCell ref="D36:D37"/>
    <mergeCell ref="D38:D39"/>
    <mergeCell ref="D41:D43"/>
    <mergeCell ref="D44:D45"/>
    <mergeCell ref="E32:E33"/>
    <mergeCell ref="E34:E35"/>
    <mergeCell ref="E36:E37"/>
    <mergeCell ref="E38:E39"/>
    <mergeCell ref="F32:F33"/>
    <mergeCell ref="F34:F35"/>
    <mergeCell ref="F36:F37"/>
    <mergeCell ref="F38:F39"/>
    <mergeCell ref="G32:G33"/>
    <mergeCell ref="G34:G35"/>
    <mergeCell ref="G36:G37"/>
    <mergeCell ref="G38:G39"/>
    <mergeCell ref="H32:H33"/>
    <mergeCell ref="H34:H35"/>
    <mergeCell ref="H36:H37"/>
    <mergeCell ref="H38:H39"/>
    <mergeCell ref="L32:L33"/>
    <mergeCell ref="L34:L35"/>
    <mergeCell ref="L36:L37"/>
    <mergeCell ref="L38:L39"/>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36" workbookViewId="0">
      <selection activeCell="G42" sqref="G42"/>
    </sheetView>
  </sheetViews>
  <sheetFormatPr defaultColWidth="9.14285714285714" defaultRowHeight="15"/>
  <cols>
    <col min="1" max="1" width="22.5714285714286" customWidth="1"/>
    <col min="2" max="2" width="12.2857142857143" customWidth="1"/>
    <col min="3" max="3" width="26.4285714285714" customWidth="1"/>
    <col min="4" max="4" width="18.8571428571429" customWidth="1"/>
    <col min="5" max="5" width="34.8571428571429" customWidth="1"/>
    <col min="6" max="6" width="23.4285714285714" customWidth="1"/>
    <col min="7" max="7" width="26.4285714285714" customWidth="1"/>
    <col min="8" max="8" width="28.4285714285714" customWidth="1"/>
    <col min="9" max="9" width="14.7142857142857" customWidth="1"/>
    <col min="10" max="10" width="15.4285714285714" customWidth="1"/>
    <col min="11" max="11" width="11" customWidth="1"/>
    <col min="12" max="12" width="16" customWidth="1"/>
  </cols>
  <sheetData>
    <row r="1" spans="1:2">
      <c r="A1" t="s">
        <v>1022</v>
      </c>
      <c r="B1" t="s">
        <v>1260</v>
      </c>
    </row>
    <row r="2" spans="1:2">
      <c r="A2" t="s">
        <v>1024</v>
      </c>
      <c r="B2" t="s">
        <v>1261</v>
      </c>
    </row>
    <row r="3" spans="1:2">
      <c r="A3" t="s">
        <v>1026</v>
      </c>
      <c r="B3" s="1" t="s">
        <v>854</v>
      </c>
    </row>
    <row r="4" spans="1:2">
      <c r="A4" t="s">
        <v>1027</v>
      </c>
      <c r="B4" t="s">
        <v>869</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41734</v>
      </c>
      <c r="C9" s="5">
        <v>24500</v>
      </c>
      <c r="D9" s="5">
        <f>C9*G9</f>
        <v>24500</v>
      </c>
      <c r="E9" s="6">
        <f>SUMIFS(Item!$F$2:$F$1003,Item!$A$2:$A$1003,$B$3,Item!$E$2:$E$1003,$A9)+SUMIFS(Item!$F$2:$F$1003,Item!$A$2:$A$1003,$B$4,Item!$E$2:$E$1003,$A9)+SUMIFS(Item!$F$2:$F$1003,Item!$A$2:$A$1003,$B$5,Item!$E$2:$E$1003,$A9)+SUMIFS(Item!$F$2:$F$1003,Item!$A$2:$A$1003,$B$6,Item!$E$2:$E$1003,$A9)</f>
        <v>17234</v>
      </c>
      <c r="F9" s="5">
        <f>E9*G9</f>
        <v>17234</v>
      </c>
      <c r="G9">
        <v>1</v>
      </c>
      <c r="H9" s="6">
        <f>B9*G9</f>
        <v>41734</v>
      </c>
    </row>
    <row r="10" spans="1:8">
      <c r="A10" t="s">
        <v>452</v>
      </c>
      <c r="B10" s="5">
        <f>SUM(C10,E10)</f>
        <v>34230</v>
      </c>
      <c r="C10" s="5">
        <v>13700</v>
      </c>
      <c r="D10" s="5">
        <f>C10*G10</f>
        <v>2740</v>
      </c>
      <c r="E10" s="6">
        <f>SUMIFS(Item!$F$2:$F$1003,Item!$A$2:$A$1003,$B$3,Item!$E$2:$E$1003,$A10)+SUMIFS(Item!$F$2:$F$1003,Item!$A$2:$A$1003,$B$4,Item!$E$2:$E$1003,$A10)+SUMIFS(Item!$F$2:$F$1003,Item!$A$2:$A$1003,$B$5,Item!$E$2:$E$1003,$A10)+SUMIFS(Item!$F$2:$F$1003,Item!$A$2:$A$1003,$B$6,Item!$E$2:$E$1003,$A10)</f>
        <v>20530</v>
      </c>
      <c r="F10" s="5">
        <f>E10*G10</f>
        <v>4106</v>
      </c>
      <c r="G10">
        <v>0.2</v>
      </c>
      <c r="H10" s="6">
        <f>B10*G10</f>
        <v>6846</v>
      </c>
    </row>
    <row r="11" spans="1:8">
      <c r="A11" t="s">
        <v>455</v>
      </c>
      <c r="B11" s="5">
        <f>SUM(C11,E11)</f>
        <v>2512.18809980806</v>
      </c>
      <c r="C11" s="5">
        <f>16691/G11</f>
        <v>1601.82341650672</v>
      </c>
      <c r="D11" s="5">
        <f>C11*G11</f>
        <v>16691</v>
      </c>
      <c r="E11" s="6">
        <f>SUMIFS(Item!$F$2:$F$1003,Item!$A$2:$A$1003,$B$3,Item!$E$2:$E$1003,$A11)+SUMIFS(Item!$F$2:$F$1003,Item!$A$2:$A$1003,$B$4,Item!$E$2:$E$1003,$A11)+SUMIFS(Item!$F$2:$F$1003,Item!$A$2:$A$1003,$B$5,Item!$E$2:$E$1003,$A11)+SUMIFS(Item!$F$2:$F$1003,Item!$A$2:$A$1003,$B$6,Item!$E$2:$E$1003,$A11)</f>
        <v>910.364683301343</v>
      </c>
      <c r="F11" s="5">
        <f>E11*G11</f>
        <v>9485.99999999999</v>
      </c>
      <c r="G11">
        <v>10.42</v>
      </c>
      <c r="H11" s="6">
        <f>B11*G11</f>
        <v>26177</v>
      </c>
    </row>
    <row r="12" spans="1:11">
      <c r="A12" t="s">
        <v>1138</v>
      </c>
      <c r="B12" s="5">
        <f>B11*B17*(1+B19*B20)</f>
        <v>9068.99904030711</v>
      </c>
      <c r="C12" s="5"/>
      <c r="D12" s="5"/>
      <c r="E12" s="6"/>
      <c r="F12" s="5"/>
      <c r="H12" s="6"/>
      <c r="K12" s="7"/>
    </row>
    <row r="13" spans="1:11">
      <c r="A13" t="s">
        <v>459</v>
      </c>
      <c r="B13" s="5">
        <f>SUM(C13,E13)</f>
        <v>740</v>
      </c>
      <c r="C13" s="5">
        <v>240</v>
      </c>
      <c r="D13" s="5">
        <f>C13*G13</f>
        <v>1668</v>
      </c>
      <c r="E13" s="6">
        <f>SUMIFS(Item!$F$2:$F$1003,Item!$A$2:$A$1003,$B$3,Item!$E$2:$E$1003,$A13)+SUMIFS(Item!$F$2:$F$1003,Item!$A$2:$A$1003,$B$4,Item!$E$2:$E$1003,$A13)+SUMIFS(Item!$F$2:$F$1003,Item!$A$2:$A$1003,$B$5,Item!$E$2:$E$1003,$A13)+SUMIFS(Item!$F$2:$F$1003,Item!$A$2:$A$1003,$B$6,Item!$E$2:$E$1003,$A13)</f>
        <v>500</v>
      </c>
      <c r="F13" s="5">
        <f>E13*G13</f>
        <v>3475</v>
      </c>
      <c r="G13">
        <v>6.95</v>
      </c>
      <c r="H13" s="6">
        <f>B13*G13</f>
        <v>5143</v>
      </c>
      <c r="K13" s="7"/>
    </row>
    <row r="14" spans="1:10">
      <c r="A14" t="s">
        <v>467</v>
      </c>
      <c r="B14" s="5">
        <f>SUM(C14,E14)</f>
        <v>740</v>
      </c>
      <c r="C14" s="5">
        <v>240</v>
      </c>
      <c r="D14" s="5">
        <f t="shared" ref="D14:D27" si="0">C14*G14</f>
        <v>3496.8</v>
      </c>
      <c r="E14" s="6">
        <f>SUMIFS(Item!$F$2:$F$1003,Item!$A$2:$A$1003,$B$3,Item!$E$2:$E$1003,$A14)+SUMIFS(Item!$F$2:$F$1003,Item!$A$2:$A$1003,$B$4,Item!$E$2:$E$1003,$A14)+SUMIFS(Item!$F$2:$F$1003,Item!$A$2:$A$1003,$B$5,Item!$E$2:$E$1003,$A14)+SUMIFS(Item!$F$2:$F$1003,Item!$A$2:$A$1003,$B$6,Item!$E$2:$E$1003,$A14)</f>
        <v>500</v>
      </c>
      <c r="F14" s="5">
        <f t="shared" ref="F14:F27" si="1">E14*G14</f>
        <v>7285</v>
      </c>
      <c r="G14">
        <v>14.57</v>
      </c>
      <c r="H14" s="6">
        <f>B14*G14</f>
        <v>10781.8</v>
      </c>
      <c r="J14" s="7"/>
    </row>
    <row r="15" spans="1:10">
      <c r="A15" t="s">
        <v>564</v>
      </c>
      <c r="B15" s="7">
        <f>B13/(B13+1000)</f>
        <v>0.425287356321839</v>
      </c>
      <c r="C15" s="5"/>
      <c r="D15" s="5">
        <f t="shared" si="0"/>
        <v>0</v>
      </c>
      <c r="E15" s="6"/>
      <c r="F15" s="5">
        <f t="shared" si="1"/>
        <v>0</v>
      </c>
      <c r="H15" s="6"/>
      <c r="J15" s="7"/>
    </row>
    <row r="16" spans="1:10">
      <c r="A16" t="s">
        <v>688</v>
      </c>
      <c r="B16" s="7">
        <f>B14/(B14+1000)</f>
        <v>0.425287356321839</v>
      </c>
      <c r="C16" s="5"/>
      <c r="D16" s="5">
        <f t="shared" si="0"/>
        <v>0</v>
      </c>
      <c r="E16" s="6"/>
      <c r="F16" s="5">
        <f t="shared" si="1"/>
        <v>0</v>
      </c>
      <c r="H16" s="6"/>
      <c r="J16" s="7"/>
    </row>
    <row r="17" spans="1:8">
      <c r="A17" t="s">
        <v>482</v>
      </c>
      <c r="B17" s="8">
        <f>SUM(C17,E17)</f>
        <v>1.9</v>
      </c>
      <c r="C17" s="8">
        <v>1.2</v>
      </c>
      <c r="D17" s="5">
        <f>C17*G17*100</f>
        <v>20880</v>
      </c>
      <c r="E17" s="9">
        <f>SUMIFS(Item!$F$2:$F$1003,Item!$A$2:$A$1003,$B$3,Item!$E$2:$E$1003,$A17)+SUMIFS(Item!$F$2:$F$1003,Item!$A$2:$A$1003,$B$4,Item!$E$2:$E$1003,$A17)+SUMIFS(Item!$F$2:$F$1003,Item!$A$2:$A$1003,$B$5,Item!$E$2:$E$1003,$A17)+SUMIFS(Item!$F$2:$F$1003,Item!$A$2:$A$1003,$B$6,Item!$E$2:$E$1003,$A17)</f>
        <v>0.7</v>
      </c>
      <c r="F17" s="5">
        <f>E17*G17*100</f>
        <v>12180</v>
      </c>
      <c r="G17">
        <v>174</v>
      </c>
      <c r="H17" s="6">
        <f t="shared" ref="H17:H20" si="2">B17*G17*100</f>
        <v>33060</v>
      </c>
    </row>
    <row r="18" spans="1:8">
      <c r="A18" t="s">
        <v>689</v>
      </c>
      <c r="B18" s="8">
        <f t="shared" ref="B17:B27" si="3">SUM(C18,E18)</f>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 t="shared" si="2"/>
        <v>0</v>
      </c>
    </row>
    <row r="19" spans="1:8">
      <c r="A19" t="s">
        <v>474</v>
      </c>
      <c r="B19" s="8">
        <f t="shared" si="3"/>
        <v>0.6</v>
      </c>
      <c r="C19" s="8">
        <v>0.2</v>
      </c>
      <c r="D19" s="5">
        <f>C19*G19*100</f>
        <v>3480</v>
      </c>
      <c r="E19" s="9">
        <f>SUMIFS(Item!$F$2:$F$1003,Item!$A$2:$A$1003,$B$3,Item!$E$2:$E$1003,$A19)+SUMIFS(Item!$F$2:$F$1003,Item!$A$2:$A$1003,$B$4,Item!$E$2:$E$1003,$A19)+SUMIFS(Item!$F$2:$F$1003,Item!$A$2:$A$1003,$B$5,Item!$E$2:$E$1003,$A19)+SUMIFS(Item!$F$2:$F$1003,Item!$A$2:$A$1003,$B$6,Item!$E$2:$E$1003,$A19)</f>
        <v>0.4</v>
      </c>
      <c r="F19" s="5">
        <f>E19*G19*100</f>
        <v>6960</v>
      </c>
      <c r="G19">
        <v>174</v>
      </c>
      <c r="H19" s="6">
        <f t="shared" si="2"/>
        <v>10440</v>
      </c>
    </row>
    <row r="20" spans="1:8">
      <c r="A20" t="s">
        <v>478</v>
      </c>
      <c r="B20" s="8">
        <f t="shared" si="3"/>
        <v>1.5</v>
      </c>
      <c r="C20" s="8">
        <v>0.5</v>
      </c>
      <c r="D20" s="5">
        <f>C20*G20*100</f>
        <v>1737</v>
      </c>
      <c r="E20" s="9">
        <f>SUMIFS(Item!$F$2:$F$1003,Item!$A$2:$A$1003,$B$3,Item!$E$2:$E$1003,$A20)+SUMIFS(Item!$F$2:$F$1003,Item!$A$2:$A$1003,$B$4,Item!$E$2:$E$1003,$A20)+SUMIFS(Item!$F$2:$F$1003,Item!$A$2:$A$1003,$B$5,Item!$E$2:$E$1003,$A20)+SUMIFS(Item!$F$2:$F$1003,Item!$A$2:$A$1003,$B$6,Item!$E$2:$E$1003,$A20)</f>
        <v>1</v>
      </c>
      <c r="F20" s="5">
        <f>E20*G20*100</f>
        <v>3474</v>
      </c>
      <c r="G20">
        <v>34.74</v>
      </c>
      <c r="H20" s="6">
        <f t="shared" si="2"/>
        <v>5211</v>
      </c>
    </row>
    <row r="21" spans="1:8">
      <c r="A21" t="s">
        <v>109</v>
      </c>
      <c r="B21" s="5">
        <f t="shared" si="3"/>
        <v>100</v>
      </c>
      <c r="C21" s="5">
        <v>100</v>
      </c>
      <c r="D21" s="5">
        <f t="shared" si="0"/>
        <v>50000</v>
      </c>
      <c r="E21" s="6">
        <f>SUMIFS(Item!$F$2:$F$1003,Item!$A$2:$A$1003,$B$3,Item!$E$2:$E$1003,$A21)+SUMIFS(Item!$F$2:$F$1003,Item!$A$2:$A$1003,$B$4,Item!$E$2:$E$1003,$A21)+SUMIFS(Item!$F$2:$F$1003,Item!$A$2:$A$1003,$B$5,Item!$E$2:$E$1003,$A21)+SUMIFS(Item!$F$2:$F$1003,Item!$A$2:$A$1003,$B$6,Item!$E$2:$E$1003,$A21)</f>
        <v>0</v>
      </c>
      <c r="F21" s="5">
        <f t="shared" si="1"/>
        <v>0</v>
      </c>
      <c r="G21">
        <v>500</v>
      </c>
      <c r="H21" s="6">
        <f t="shared" ref="H21:H24" si="4">B21*G21</f>
        <v>50000</v>
      </c>
    </row>
    <row r="22" spans="1:8">
      <c r="A22" t="s">
        <v>502</v>
      </c>
      <c r="B22" s="5">
        <f t="shared" si="3"/>
        <v>4</v>
      </c>
      <c r="C22" s="5">
        <v>4</v>
      </c>
      <c r="D22" s="5">
        <f t="shared" si="0"/>
        <v>7400</v>
      </c>
      <c r="E22" s="6">
        <f>SUMIFS(Item!$F$2:$F$1003,Item!$A$2:$A$1003,$B$3,Item!$E$2:$E$1003,$A22)+SUMIFS(Item!$F$2:$F$1003,Item!$A$2:$A$1003,$B$4,Item!$E$2:$E$1003,$A22)+SUMIFS(Item!$F$2:$F$1003,Item!$A$2:$A$1003,$B$5,Item!$E$2:$E$1003,$A22)+SUMIFS(Item!$F$2:$F$1003,Item!$A$2:$A$1003,$B$6,Item!$E$2:$E$1003,$A22)</f>
        <v>0</v>
      </c>
      <c r="F22" s="5">
        <f t="shared" si="1"/>
        <v>0</v>
      </c>
      <c r="G22">
        <v>1850</v>
      </c>
      <c r="H22" s="6">
        <f t="shared" si="4"/>
        <v>7400</v>
      </c>
    </row>
    <row r="23" spans="1:8">
      <c r="A23" t="s">
        <v>691</v>
      </c>
      <c r="B23" s="5">
        <f t="shared" si="3"/>
        <v>0</v>
      </c>
      <c r="C23" s="5">
        <v>0</v>
      </c>
      <c r="D23" s="5">
        <f t="shared" si="0"/>
        <v>0</v>
      </c>
      <c r="E23" s="6">
        <f>SUMIFS(Item!$F$2:$F$1003,Item!$A$2:$A$1003,$B$3,Item!$E$2:$E$1003,$A23)+SUMIFS(Item!$F$2:$F$1003,Item!$A$2:$A$1003,$B$4,Item!$E$2:$E$1003,$A23)+SUMIFS(Item!$F$2:$F$1003,Item!$A$2:$A$1003,$B$5,Item!$E$2:$E$1003,$A23)+SUMIFS(Item!$F$2:$F$1003,Item!$A$2:$A$1003,$B$6,Item!$E$2:$E$1003,$A23)</f>
        <v>0</v>
      </c>
      <c r="F23" s="5">
        <f t="shared" si="1"/>
        <v>0</v>
      </c>
      <c r="G23">
        <v>9600</v>
      </c>
      <c r="H23" s="6">
        <f t="shared" si="4"/>
        <v>0</v>
      </c>
    </row>
    <row r="24" spans="1:8">
      <c r="A24" t="s">
        <v>692</v>
      </c>
      <c r="B24" s="5">
        <f t="shared" si="3"/>
        <v>10</v>
      </c>
      <c r="C24" s="5">
        <v>10</v>
      </c>
      <c r="D24" s="5">
        <f t="shared" si="0"/>
        <v>15260</v>
      </c>
      <c r="E24" s="6">
        <f>SUMIFS(Item!$F$2:$F$1003,Item!$A$2:$A$1003,$B$3,Item!$E$2:$E$1003,$A24)+SUMIFS(Item!$F$2:$F$1003,Item!$A$2:$A$1003,$B$4,Item!$E$2:$E$1003,$A24)+SUMIFS(Item!$F$2:$F$1003,Item!$A$2:$A$1003,$B$5,Item!$E$2:$E$1003,$A24)+SUMIFS(Item!$F$2:$F$1003,Item!$A$2:$A$1003,$B$6,Item!$E$2:$E$1003,$A24)</f>
        <v>0</v>
      </c>
      <c r="F24" s="5">
        <f t="shared" si="1"/>
        <v>0</v>
      </c>
      <c r="G24">
        <v>1526</v>
      </c>
      <c r="H24" s="6">
        <f t="shared" si="4"/>
        <v>15260</v>
      </c>
    </row>
    <row r="25" spans="1:8">
      <c r="A25" t="s">
        <v>486</v>
      </c>
      <c r="B25" s="8">
        <f t="shared" si="3"/>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 t="shared" ref="H25:H27" si="5">B25*G25*100</f>
        <v>20933</v>
      </c>
    </row>
    <row r="26" spans="1:8">
      <c r="A26" t="s">
        <v>490</v>
      </c>
      <c r="B26" s="8">
        <f t="shared" si="3"/>
        <v>0.1</v>
      </c>
      <c r="C26" s="8">
        <v>0.1</v>
      </c>
      <c r="D26" s="5">
        <f>C26*G26*100</f>
        <v>2093.3</v>
      </c>
      <c r="E26" s="9">
        <f>SUMIFS(Item!$F$2:$F$1003,Item!$A$2:$A$1003,$B$3,Item!$E$2:$E$1003,$A26)+SUMIFS(Item!$F$2:$F$1003,Item!$A$2:$A$1003,$B$4,Item!$E$2:$E$1003,$A26)+SUMIFS(Item!$F$2:$F$1003,Item!$A$2:$A$1003,$B$5,Item!$E$2:$E$1003,$A26)+SUMIFS(Item!$F$2:$F$1003,Item!$A$2:$A$1003,$B$6,Item!$E$2:$E$1003,$A26)</f>
        <v>0</v>
      </c>
      <c r="F26" s="5">
        <f>E26*G26*100</f>
        <v>0</v>
      </c>
      <c r="G26">
        <v>209.33</v>
      </c>
      <c r="H26" s="6">
        <f t="shared" si="5"/>
        <v>2093.3</v>
      </c>
    </row>
    <row r="27" spans="1:8">
      <c r="A27" t="s">
        <v>494</v>
      </c>
      <c r="B27" s="8">
        <f t="shared" si="3"/>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 t="shared" si="5"/>
        <v>0</v>
      </c>
    </row>
    <row r="28" spans="1:8">
      <c r="A28" s="10" t="s">
        <v>701</v>
      </c>
      <c r="B28" s="10"/>
      <c r="C28" s="10"/>
      <c r="D28" s="11">
        <f>SUM(D9:D27)</f>
        <v>170879.1</v>
      </c>
      <c r="E28" s="12"/>
      <c r="F28" s="11">
        <f>SUM(F9:F27)</f>
        <v>64200</v>
      </c>
      <c r="G28" s="10"/>
      <c r="H28" s="11">
        <f>SUM(H9:H27)</f>
        <v>235079.1</v>
      </c>
    </row>
    <row r="29" spans="1:11">
      <c r="A29" t="s">
        <v>1034</v>
      </c>
      <c r="D29" s="12">
        <f>'Balanced Dummy '!D22-D28</f>
        <v>-0.100000000005821</v>
      </c>
      <c r="E29" s="12"/>
      <c r="F29" s="12"/>
      <c r="K29" s="25"/>
    </row>
    <row r="30" spans="4:11">
      <c r="D30" s="12"/>
      <c r="E30" s="12"/>
      <c r="F30" s="12"/>
      <c r="K30" s="25"/>
    </row>
    <row r="31" spans="1:12">
      <c r="A31" s="13" t="s">
        <v>1035</v>
      </c>
      <c r="B31" s="14" t="s">
        <v>152</v>
      </c>
      <c r="C31" s="14" t="s">
        <v>669</v>
      </c>
      <c r="D31" s="14" t="s">
        <v>670</v>
      </c>
      <c r="E31" s="14" t="s">
        <v>29</v>
      </c>
      <c r="F31" s="13" t="s">
        <v>618</v>
      </c>
      <c r="G31" s="13" t="s">
        <v>1036</v>
      </c>
      <c r="H31" s="13" t="s">
        <v>181</v>
      </c>
      <c r="I31" s="14" t="s">
        <v>351</v>
      </c>
      <c r="J31" s="13" t="s">
        <v>1037</v>
      </c>
      <c r="K31" s="14" t="s">
        <v>671</v>
      </c>
      <c r="L31" s="26" t="s">
        <v>1038</v>
      </c>
    </row>
    <row r="32" ht="30" spans="1:12">
      <c r="A32" s="13" t="s">
        <v>1262</v>
      </c>
      <c r="B32" s="13">
        <v>100</v>
      </c>
      <c r="C32" s="15">
        <v>5474</v>
      </c>
      <c r="D32" s="13">
        <v>1</v>
      </c>
      <c r="E32" s="13" t="s">
        <v>1263</v>
      </c>
      <c r="F32" s="13" t="s">
        <v>855</v>
      </c>
      <c r="G32" s="13" t="s">
        <v>849</v>
      </c>
      <c r="H32" s="13"/>
      <c r="I32" s="13" t="s">
        <v>1264</v>
      </c>
      <c r="J32" s="27" t="s">
        <v>1265</v>
      </c>
      <c r="K32" s="13">
        <f>1.654*1000*5</f>
        <v>8270</v>
      </c>
      <c r="L32" s="26">
        <v>8270</v>
      </c>
    </row>
    <row r="33" ht="90" spans="1:12">
      <c r="A33" s="13" t="s">
        <v>1266</v>
      </c>
      <c r="B33" s="13">
        <v>75</v>
      </c>
      <c r="C33" s="15">
        <v>5072</v>
      </c>
      <c r="D33" s="13">
        <v>10</v>
      </c>
      <c r="E33" s="13" t="s">
        <v>1267</v>
      </c>
      <c r="F33" s="13" t="s">
        <v>1055</v>
      </c>
      <c r="G33" s="13" t="s">
        <v>1055</v>
      </c>
      <c r="H33" s="13">
        <v>6</v>
      </c>
      <c r="I33" s="13" t="s">
        <v>1268</v>
      </c>
      <c r="J33" s="13" t="s">
        <v>1052</v>
      </c>
      <c r="K33" s="28">
        <f>2%*5</f>
        <v>0.1</v>
      </c>
      <c r="L33" s="29">
        <f>8270+8270*10/24</f>
        <v>11715.8333333333</v>
      </c>
    </row>
    <row r="34" ht="62" customHeight="1" spans="1:12">
      <c r="A34" s="16" t="s">
        <v>1269</v>
      </c>
      <c r="B34" s="16" t="s">
        <v>1270</v>
      </c>
      <c r="C34" s="15">
        <f>4000/4</f>
        <v>1000</v>
      </c>
      <c r="D34" s="16">
        <v>2</v>
      </c>
      <c r="E34" s="16" t="s">
        <v>1271</v>
      </c>
      <c r="F34" s="16" t="s">
        <v>1272</v>
      </c>
      <c r="G34" s="16" t="s">
        <v>849</v>
      </c>
      <c r="H34" s="16">
        <v>1</v>
      </c>
      <c r="I34" s="16" t="s">
        <v>1273</v>
      </c>
      <c r="J34" s="16" t="s">
        <v>1274</v>
      </c>
      <c r="K34" s="30">
        <f>3%+(1%*5)</f>
        <v>0.08</v>
      </c>
      <c r="L34" s="29"/>
    </row>
    <row r="35" ht="62" customHeight="1" spans="1:12">
      <c r="A35" s="16"/>
      <c r="B35" s="16"/>
      <c r="C35" s="15"/>
      <c r="D35" s="16"/>
      <c r="E35" s="16"/>
      <c r="F35" s="16"/>
      <c r="G35" s="16"/>
      <c r="H35" s="16"/>
      <c r="I35" s="16" t="s">
        <v>1275</v>
      </c>
      <c r="J35" s="16" t="s">
        <v>1276</v>
      </c>
      <c r="K35" s="15">
        <f>1.654*1000*33%*5</f>
        <v>2729.1</v>
      </c>
      <c r="L35" s="26"/>
    </row>
    <row r="36" ht="64" customHeight="1" spans="1:12">
      <c r="A36" s="16" t="s">
        <v>1277</v>
      </c>
      <c r="B36" s="16">
        <v>150</v>
      </c>
      <c r="C36" s="15">
        <v>5928</v>
      </c>
      <c r="D36" s="16">
        <v>5</v>
      </c>
      <c r="E36" s="16" t="s">
        <v>1278</v>
      </c>
      <c r="F36" s="16" t="s">
        <v>1272</v>
      </c>
      <c r="G36" s="16" t="s">
        <v>1279</v>
      </c>
      <c r="H36" s="16">
        <v>3</v>
      </c>
      <c r="I36" s="16" t="s">
        <v>1273</v>
      </c>
      <c r="J36" s="16" t="s">
        <v>1274</v>
      </c>
      <c r="K36" s="30">
        <f>3%+(1%*5)</f>
        <v>0.08</v>
      </c>
      <c r="L36" s="31">
        <f>8270*2</f>
        <v>16540</v>
      </c>
    </row>
    <row r="37" ht="64" customHeight="1" spans="1:12">
      <c r="A37" s="16"/>
      <c r="B37" s="16"/>
      <c r="C37" s="15"/>
      <c r="D37" s="16"/>
      <c r="E37" s="16"/>
      <c r="F37" s="16"/>
      <c r="G37" s="16"/>
      <c r="H37" s="16"/>
      <c r="I37" s="16" t="s">
        <v>1275</v>
      </c>
      <c r="J37" s="16">
        <v>795</v>
      </c>
      <c r="K37" s="15">
        <v>795</v>
      </c>
      <c r="L37" s="32"/>
    </row>
    <row r="39" ht="98" customHeight="1" spans="1:11">
      <c r="A39" s="17" t="s">
        <v>1069</v>
      </c>
      <c r="B39" s="17" t="s">
        <v>1280</v>
      </c>
      <c r="C39" s="17" t="s">
        <v>1281</v>
      </c>
      <c r="D39" s="16" t="s">
        <v>1282</v>
      </c>
      <c r="E39" s="18" t="s">
        <v>1283</v>
      </c>
      <c r="F39" s="18" t="s">
        <v>1284</v>
      </c>
      <c r="G39" s="18" t="s">
        <v>1285</v>
      </c>
      <c r="H39" s="19" t="s">
        <v>1286</v>
      </c>
      <c r="I39"/>
      <c r="J39"/>
      <c r="K39" s="33"/>
    </row>
    <row r="40" ht="98" customHeight="1" spans="1:10">
      <c r="A40" s="20"/>
      <c r="B40" s="20"/>
      <c r="C40" s="20"/>
      <c r="D40" s="16"/>
      <c r="E40" s="18" t="s">
        <v>1287</v>
      </c>
      <c r="F40" s="19" t="s">
        <v>1288</v>
      </c>
      <c r="G40" s="21" t="s">
        <v>1289</v>
      </c>
      <c r="H40" s="19" t="s">
        <v>1290</v>
      </c>
      <c r="I40"/>
      <c r="J40" s="34"/>
    </row>
    <row r="41" spans="1:8">
      <c r="A41" s="22"/>
      <c r="B41" s="22"/>
      <c r="C41" s="22"/>
      <c r="D41" s="22"/>
      <c r="E41" s="22"/>
      <c r="F41" s="22"/>
      <c r="G41" s="22"/>
      <c r="H41" s="22"/>
    </row>
    <row r="42" ht="60" spans="1:10">
      <c r="A42" s="17" t="s">
        <v>1081</v>
      </c>
      <c r="B42" s="17" t="s">
        <v>1291</v>
      </c>
      <c r="C42" s="17" t="s">
        <v>1292</v>
      </c>
      <c r="D42" s="17" t="s">
        <v>1293</v>
      </c>
      <c r="E42" s="19" t="s">
        <v>1294</v>
      </c>
      <c r="F42" s="18" t="s">
        <v>1295</v>
      </c>
      <c r="G42" s="18" t="s">
        <v>1296</v>
      </c>
      <c r="H42" s="23"/>
      <c r="J42" s="7"/>
    </row>
    <row r="43" ht="60" spans="1:8">
      <c r="A43" s="24"/>
      <c r="B43" s="24"/>
      <c r="C43" s="24"/>
      <c r="D43" s="24"/>
      <c r="E43" s="21" t="s">
        <v>1297</v>
      </c>
      <c r="F43" s="19" t="s">
        <v>1298</v>
      </c>
      <c r="G43" s="16"/>
      <c r="H43" s="23"/>
    </row>
    <row r="44" ht="60" spans="1:8">
      <c r="A44" s="20"/>
      <c r="B44" s="20"/>
      <c r="C44" s="20"/>
      <c r="D44" s="20"/>
      <c r="E44" s="18" t="s">
        <v>1299</v>
      </c>
      <c r="F44" s="18" t="s">
        <v>1300</v>
      </c>
      <c r="G44" s="21" t="s">
        <v>1301</v>
      </c>
      <c r="H44" s="23"/>
    </row>
  </sheetData>
  <mergeCells count="26">
    <mergeCell ref="A34:A35"/>
    <mergeCell ref="A36:A37"/>
    <mergeCell ref="A39:A40"/>
    <mergeCell ref="A42:A44"/>
    <mergeCell ref="B34:B35"/>
    <mergeCell ref="B36:B37"/>
    <mergeCell ref="B39:B40"/>
    <mergeCell ref="B42:B44"/>
    <mergeCell ref="C34:C35"/>
    <mergeCell ref="C36:C37"/>
    <mergeCell ref="C39:C40"/>
    <mergeCell ref="C42:C44"/>
    <mergeCell ref="D34:D35"/>
    <mergeCell ref="D36:D37"/>
    <mergeCell ref="D39:D40"/>
    <mergeCell ref="D42:D44"/>
    <mergeCell ref="E34:E35"/>
    <mergeCell ref="E36:E37"/>
    <mergeCell ref="F34:F35"/>
    <mergeCell ref="F36:F37"/>
    <mergeCell ref="G34:G35"/>
    <mergeCell ref="G36:G37"/>
    <mergeCell ref="H34:H35"/>
    <mergeCell ref="H36:H37"/>
    <mergeCell ref="L33:L34"/>
    <mergeCell ref="L36:L37"/>
  </mergeCells>
  <pageMargins left="0.7" right="0.7" top="0.75" bottom="0.75" header="0.3" footer="0.3"/>
  <headerFooter/>
  <ignoredErrors>
    <ignoredError sqref="K35" formula="1"/>
  </ignoredErrors>
  <legacyDrawing r:id="rId2"/>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13</vt:i4>
      </vt:variant>
    </vt:vector>
  </HeadingPairs>
  <TitlesOfParts>
    <vt:vector size="13" baseType="lpstr">
      <vt:lpstr>Ý tưởng chung</vt:lpstr>
      <vt:lpstr>Giai đoạn phát triên</vt:lpstr>
      <vt:lpstr>Combat Mechanics</vt:lpstr>
      <vt:lpstr>Terminology</vt:lpstr>
      <vt:lpstr>Balanced Dummy </vt:lpstr>
      <vt:lpstr>Item</vt:lpstr>
      <vt:lpstr>status</vt:lpstr>
      <vt:lpstr>Warrior class</vt:lpstr>
      <vt:lpstr>Destroyer class</vt:lpstr>
      <vt:lpstr>Soldier class</vt:lpstr>
      <vt:lpstr>Devastator class</vt:lpstr>
      <vt:lpstr>Piercer class</vt:lpstr>
      <vt:lpstr>Ranger class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2026-10-24T08:18:00Z</dcterms:created>
  <dcterms:modified xsi:type="dcterms:W3CDTF">2026-10-28T23:45:29Z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CDDE9E9B788D4C02AB7E22FCB3208A3A_12</vt:lpwstr>
  </property>
  <property fmtid="{D5CDD505-2E9C-101B-9397-08002B2CF9AE}" pid="3" name="KSOProductBuildVer">
    <vt:lpwstr>1033-12.9.0.21549</vt:lpwstr>
  </property>
</Properties>
</file>